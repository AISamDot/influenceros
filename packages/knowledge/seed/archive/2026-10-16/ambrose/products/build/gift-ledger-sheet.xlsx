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rawer" sheetId="1" state="visible" r:id="rId1"/>
    <sheet xmlns:r="http://schemas.openxmlformats.org/officeDocument/2006/relationships" name="Ledger" sheetId="2" state="visible" r:id="rId2"/>
    <sheet xmlns:r="http://schemas.openxmlformats.org/officeDocument/2006/relationships" name="Tipp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ddd d mmm yyyy"/>
  </numFmts>
  <fonts count="7">
    <font>
      <name val="Calibri"/>
      <family val="2"/>
      <color theme="1"/>
      <sz val="11"/>
      <scheme val="minor"/>
    </font>
    <font>
      <b val="1"/>
      <color rgb="001F3440"/>
      <sz val="14"/>
    </font>
    <font>
      <i val="1"/>
      <color rgb="003A3B3D"/>
    </font>
    <font>
      <b val="1"/>
      <color rgb="00FFFFFF"/>
    </font>
    <font>
      <color rgb="00161D2A"/>
    </font>
    <font>
      <b val="1"/>
    </font>
    <font>
      <b val="1"/>
      <color rgb="00161D2A"/>
    </font>
  </fonts>
  <fills count="4">
    <fill>
      <patternFill/>
    </fill>
    <fill>
      <patternFill patternType="gray125"/>
    </fill>
    <fill>
      <patternFill patternType="solid">
        <fgColor rgb="001F3440"/>
      </patternFill>
    </fill>
    <fill>
      <patternFill patternType="solid">
        <fgColor rgb="00F1EEE7"/>
      </patternFill>
    </fill>
  </fills>
  <borders count="2">
    <border>
      <left/>
      <right/>
      <top/>
      <bottom/>
      <diagonal/>
    </border>
    <border>
      <left style="thin">
        <color rgb="00C9CCCF"/>
      </left>
      <right style="thin">
        <color rgb="00C9CCCF"/>
      </right>
      <top style="thin">
        <color rgb="00C9CCCF"/>
      </top>
      <bottom style="thin">
        <color rgb="00C9CCCF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0" fillId="3" borderId="1" pivotButton="0" quotePrefix="0" xfId="0"/>
    <xf numFmtId="0" fontId="4" fillId="0" borderId="1" pivotButton="0" quotePrefix="0" xfId="0"/>
    <xf numFmtId="0" fontId="5" fillId="0" borderId="0" pivotButton="0" quotePrefix="0" xfId="0"/>
    <xf numFmtId="164" fontId="0" fillId="3" borderId="1" pivotButton="0" quotePrefix="0" xfId="0"/>
    <xf numFmtId="164" fontId="4" fillId="0" borderId="1" pivotButton="0" quotePrefix="0" xfId="0"/>
    <xf numFmtId="0" fontId="0" fillId="0" borderId="1" pivotButton="0" quotePrefix="0" xfId="0"/>
    <xf numFmtId="165" fontId="0" fillId="3" borderId="1" pivotButton="0" quotePrefix="0" xfId="0"/>
    <xf numFmtId="164" fontId="6" fillId="0" borderId="1" pivotButton="0" quotePrefix="0" xfId="0"/>
  </cellXfs>
  <cellStyles count="1">
    <cellStyle name="Normal" xfId="0" builtinId="0" hidden="0"/>
  </cellStyles>
  <dxfs count="1">
    <dxf>
      <fill>
        <patternFill patternType="solid">
          <fgColor rgb="00D9A55B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8" customWidth="1" min="2" max="2"/>
    <col width="8" customWidth="1" min="3" max="3"/>
    <col width="10" customWidth="1" min="4" max="4"/>
    <col width="8" customWidth="1" min="5" max="5"/>
    <col width="22" customWidth="1" min="6" max="6"/>
    <col width="12" customWidth="1" min="7" max="7"/>
    <col width="11" customWidth="1" min="8" max="8"/>
  </cols>
  <sheetData>
    <row r="1">
      <c r="A1" s="1" t="inlineStr">
        <is>
          <t>The Gift Drawer Count</t>
        </is>
      </c>
    </row>
    <row r="2">
      <c r="A2" s="2" t="inlineStr">
        <is>
          <t>Count before you buy. Good / Mendable / Gone, then only the gap.</t>
        </is>
      </c>
    </row>
    <row r="4">
      <c r="A4" s="3" t="inlineStr">
        <is>
          <t>Category</t>
        </is>
      </c>
      <c r="B4" s="3" t="inlineStr">
        <is>
          <t>Count</t>
        </is>
      </c>
      <c r="C4" s="3" t="inlineStr">
        <is>
          <t>Good</t>
        </is>
      </c>
      <c r="D4" s="3" t="inlineStr">
        <is>
          <t>Mendable</t>
        </is>
      </c>
      <c r="E4" s="3" t="inlineStr">
        <is>
          <t>Gone</t>
        </is>
      </c>
      <c r="F4" s="3" t="inlineStr">
        <is>
          <t>Earmarked for</t>
        </is>
      </c>
      <c r="G4" s="3" t="inlineStr">
        <is>
          <t>Par (how many you need)</t>
        </is>
      </c>
      <c r="H4" s="3" t="inlineStr">
        <is>
          <t>Gap to buy</t>
        </is>
      </c>
    </row>
    <row r="5">
      <c r="A5" s="4" t="inlineStr">
        <is>
          <t>Unopened gifts you won't use</t>
        </is>
      </c>
      <c r="B5" s="4" t="n"/>
      <c r="C5" s="4" t="n"/>
      <c r="D5" s="4" t="n"/>
      <c r="E5" s="4" t="n"/>
      <c r="F5" s="4" t="n"/>
      <c r="G5" s="4" t="n"/>
      <c r="H5" s="5">
        <f>IF(G5="","",MAX(0,G5-N(C5)-N(D5)))</f>
        <v/>
      </c>
    </row>
    <row r="6">
      <c r="A6" s="4" t="inlineStr">
        <is>
          <t>Gifts bought early and forgotten</t>
        </is>
      </c>
      <c r="B6" s="4" t="n"/>
      <c r="C6" s="4" t="n"/>
      <c r="D6" s="4" t="n"/>
      <c r="E6" s="4" t="n"/>
      <c r="F6" s="4" t="n"/>
      <c r="G6" s="4" t="n"/>
      <c r="H6" s="5">
        <f>IF(G6="","",MAX(0,G6-N(C6)-N(D6)))</f>
        <v/>
      </c>
    </row>
    <row r="7">
      <c r="A7" s="4" t="inlineStr">
        <is>
          <t>Candles (unused)</t>
        </is>
      </c>
      <c r="B7" s="4" t="n"/>
      <c r="C7" s="4" t="n"/>
      <c r="D7" s="4" t="n"/>
      <c r="E7" s="4" t="n"/>
      <c r="F7" s="4" t="n"/>
      <c r="G7" s="4" t="n"/>
      <c r="H7" s="5">
        <f>IF(G7="","",MAX(0,G7-N(C7)-N(D7)))</f>
        <v/>
      </c>
    </row>
    <row r="8">
      <c r="A8" s="4" t="inlineStr">
        <is>
          <t>Greeting cards and envelopes</t>
        </is>
      </c>
      <c r="B8" s="4" t="n"/>
      <c r="C8" s="4" t="n"/>
      <c r="D8" s="4" t="n"/>
      <c r="E8" s="4" t="n"/>
      <c r="F8" s="4" t="n"/>
      <c r="G8" s="4" t="n"/>
      <c r="H8" s="5">
        <f>IF(G8="","",MAX(0,G8-N(C8)-N(D8)))</f>
        <v/>
      </c>
    </row>
    <row r="9">
      <c r="A9" s="4" t="inlineStr">
        <is>
          <t>Stamps</t>
        </is>
      </c>
      <c r="B9" s="4" t="n"/>
      <c r="C9" s="4" t="n"/>
      <c r="D9" s="4" t="n"/>
      <c r="E9" s="4" t="n"/>
      <c r="F9" s="4" t="n"/>
      <c r="G9" s="4" t="n"/>
      <c r="H9" s="5">
        <f>IF(G9="","",MAX(0,G9-N(C9)-N(D9)))</f>
        <v/>
      </c>
    </row>
    <row r="10">
      <c r="A10" s="4" t="inlineStr">
        <is>
          <t>Wrapping paper (rolls)</t>
        </is>
      </c>
      <c r="B10" s="4" t="n"/>
      <c r="C10" s="4" t="n"/>
      <c r="D10" s="4" t="n"/>
      <c r="E10" s="4" t="n"/>
      <c r="F10" s="4" t="n"/>
      <c r="G10" s="4" t="n"/>
      <c r="H10" s="5">
        <f>IF(G10="","",MAX(0,G10-N(C10)-N(D10)))</f>
        <v/>
      </c>
    </row>
    <row r="11">
      <c r="A11" s="4" t="inlineStr">
        <is>
          <t>Ribbon, string, tags</t>
        </is>
      </c>
      <c r="B11" s="4" t="n"/>
      <c r="C11" s="4" t="n"/>
      <c r="D11" s="4" t="n"/>
      <c r="E11" s="4" t="n"/>
      <c r="F11" s="4" t="n"/>
      <c r="G11" s="4" t="n"/>
      <c r="H11" s="5">
        <f>IF(G11="","",MAX(0,G11-N(C11)-N(D11)))</f>
        <v/>
      </c>
    </row>
    <row r="12">
      <c r="A12" s="4" t="inlineStr">
        <is>
          <t>Tape (rolls)</t>
        </is>
      </c>
      <c r="B12" s="4" t="n"/>
      <c r="C12" s="4" t="n"/>
      <c r="D12" s="4" t="n"/>
      <c r="E12" s="4" t="n"/>
      <c r="F12" s="4" t="n"/>
      <c r="G12" s="4" t="n"/>
      <c r="H12" s="5">
        <f>IF(G12="","",MAX(0,G12-N(C12)-N(D12)))</f>
        <v/>
      </c>
    </row>
    <row r="13">
      <c r="A13" s="4" t="inlineStr">
        <is>
          <t>Gift bags and boxes</t>
        </is>
      </c>
      <c r="B13" s="4" t="n"/>
      <c r="C13" s="4" t="n"/>
      <c r="D13" s="4" t="n"/>
      <c r="E13" s="4" t="n"/>
      <c r="F13" s="4" t="n"/>
      <c r="G13" s="4" t="n"/>
      <c r="H13" s="5">
        <f>IF(G13="","",MAX(0,G13-N(C13)-N(D13)))</f>
        <v/>
      </c>
    </row>
    <row r="14">
      <c r="A14" s="4" t="inlineStr">
        <is>
          <t>Jars, bottles, tins</t>
        </is>
      </c>
      <c r="B14" s="4" t="n"/>
      <c r="C14" s="4" t="n"/>
      <c r="D14" s="4" t="n"/>
      <c r="E14" s="4" t="n"/>
      <c r="F14" s="4" t="n"/>
      <c r="G14" s="4" t="n"/>
      <c r="H14" s="5">
        <f>IF(G14="","",MAX(0,G14-N(C14)-N(D14)))</f>
        <v/>
      </c>
    </row>
    <row r="15">
      <c r="A15" s="4" t="inlineStr">
        <is>
          <t>Gift cards and vouchers</t>
        </is>
      </c>
      <c r="B15" s="4" t="n"/>
      <c r="C15" s="4" t="n"/>
      <c r="D15" s="4" t="n"/>
      <c r="E15" s="4" t="n"/>
      <c r="F15" s="4" t="n"/>
      <c r="G15" s="4" t="n"/>
      <c r="H15" s="5">
        <f>IF(G15="","",MAX(0,G15-N(C15)-N(D15)))</f>
        <v/>
      </c>
    </row>
    <row r="16">
      <c r="A16" s="4" t="inlineStr">
        <is>
          <t>Other</t>
        </is>
      </c>
      <c r="B16" s="4" t="n"/>
      <c r="C16" s="4" t="n"/>
      <c r="D16" s="4" t="n"/>
      <c r="E16" s="4" t="n"/>
      <c r="F16" s="4" t="n"/>
      <c r="G16" s="4" t="n"/>
      <c r="H16" s="5">
        <f>IF(G16="","",MAX(0,G16-N(C16)-N(D16)))</f>
        <v/>
      </c>
    </row>
    <row r="18">
      <c r="A18" t="inlineStr">
        <is>
          <t>Items to buy, in total</t>
        </is>
      </c>
      <c r="H18" s="6">
        <f>SUM(H5:H16)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0"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26" customWidth="1" min="3" max="3"/>
    <col width="14" customWidth="1" min="4" max="4"/>
    <col width="8" customWidth="1" min="5" max="5"/>
    <col width="9" customWidth="1" min="6" max="6"/>
    <col width="7" customWidth="1" min="7" max="7"/>
    <col width="9" customWidth="1" min="8" max="8"/>
    <col width="11" customWidth="1" min="9" max="9"/>
    <col width="12" customWidth="1" min="10" max="10"/>
  </cols>
  <sheetData>
    <row r="1">
      <c r="A1" s="1" t="inlineStr">
        <is>
          <t>The Ledger</t>
        </is>
      </c>
    </row>
    <row r="2">
      <c r="A2" s="2" t="inlineStr">
        <is>
          <t>Every name has a ceiling. Every idea passes Use / Eat / Keep ten years. The last column is Thanked.</t>
        </is>
      </c>
    </row>
    <row r="4">
      <c r="A4" t="inlineStr">
        <is>
          <t>Season gift total (your limit)</t>
        </is>
      </c>
      <c r="B4" s="7" t="n"/>
    </row>
    <row r="5">
      <c r="A5" t="inlineStr">
        <is>
          <t>Staff &amp; Service (from Tipping)</t>
        </is>
      </c>
      <c r="B5" s="8">
        <f>Tipping!C16</f>
        <v/>
      </c>
    </row>
    <row r="6">
      <c r="A6" t="inlineStr">
        <is>
          <t>Ceilings, all names</t>
        </is>
      </c>
      <c r="B6" s="8">
        <f>SUM(B12:B41)</f>
        <v/>
      </c>
    </row>
    <row r="7">
      <c r="A7" t="inlineStr">
        <is>
          <t>Ceilings + Staff &amp; Service</t>
        </is>
      </c>
      <c r="B7" s="8">
        <f>B5+B6</f>
        <v/>
      </c>
    </row>
    <row r="8">
      <c r="A8" t="inlineStr">
        <is>
          <t>Check</t>
        </is>
      </c>
      <c r="B8" s="5">
        <f>IF(B4="","Type your season total",IF(B7&lt;=B4,"Within the total","Over by $"&amp;TEXT(B7-B4,"0.00")))</f>
        <v/>
      </c>
    </row>
    <row r="9">
      <c r="A9" t="inlineStr">
        <is>
          <t>Spent so far</t>
        </is>
      </c>
      <c r="B9" s="8">
        <f>SUM(I12:I41)+Tipping!C17</f>
        <v/>
      </c>
    </row>
    <row r="11">
      <c r="A11" s="3" t="inlineStr">
        <is>
          <t>Name</t>
        </is>
      </c>
      <c r="B11" s="3" t="inlineStr">
        <is>
          <t>Gift Ceiling</t>
        </is>
      </c>
      <c r="C11" s="3" t="inlineStr">
        <is>
          <t>Idea</t>
        </is>
      </c>
      <c r="D11" s="3" t="inlineStr">
        <is>
          <t>Test (U / E / K)</t>
        </is>
      </c>
      <c r="E11" s="3" t="inlineStr">
        <is>
          <t>Bought</t>
        </is>
      </c>
      <c r="F11" s="3" t="inlineStr">
        <is>
          <t>Wrapped</t>
        </is>
      </c>
      <c r="G11" s="3" t="inlineStr">
        <is>
          <t>Sent</t>
        </is>
      </c>
      <c r="H11" s="3" t="inlineStr">
        <is>
          <t>Thanked</t>
        </is>
      </c>
      <c r="I11" s="3" t="inlineStr">
        <is>
          <t>Spent</t>
        </is>
      </c>
      <c r="J11" s="3" t="inlineStr">
        <is>
          <t>Over / under</t>
        </is>
      </c>
    </row>
    <row r="12">
      <c r="A12" s="4" t="n"/>
      <c r="B12" s="7" t="n"/>
      <c r="C12" s="4" t="n"/>
      <c r="D12" s="4" t="n"/>
      <c r="E12" s="4" t="n"/>
      <c r="F12" s="4" t="n"/>
      <c r="G12" s="4" t="n"/>
      <c r="H12" s="4" t="n"/>
      <c r="I12" s="7" t="n"/>
      <c r="J12" s="8">
        <f>IF(OR(I12="",B12=""),"",I12-B12)</f>
        <v/>
      </c>
    </row>
    <row r="13">
      <c r="A13" s="4" t="n"/>
      <c r="B13" s="7" t="n"/>
      <c r="C13" s="4" t="n"/>
      <c r="D13" s="4" t="n"/>
      <c r="E13" s="4" t="n"/>
      <c r="F13" s="4" t="n"/>
      <c r="G13" s="4" t="n"/>
      <c r="H13" s="4" t="n"/>
      <c r="I13" s="7" t="n"/>
      <c r="J13" s="8">
        <f>IF(OR(I13="",B13=""),"",I13-B13)</f>
        <v/>
      </c>
    </row>
    <row r="14">
      <c r="A14" s="4" t="n"/>
      <c r="B14" s="7" t="n"/>
      <c r="C14" s="4" t="n"/>
      <c r="D14" s="4" t="n"/>
      <c r="E14" s="4" t="n"/>
      <c r="F14" s="4" t="n"/>
      <c r="G14" s="4" t="n"/>
      <c r="H14" s="4" t="n"/>
      <c r="I14" s="7" t="n"/>
      <c r="J14" s="8">
        <f>IF(OR(I14="",B14=""),"",I14-B14)</f>
        <v/>
      </c>
    </row>
    <row r="15">
      <c r="A15" s="4" t="n"/>
      <c r="B15" s="7" t="n"/>
      <c r="C15" s="4" t="n"/>
      <c r="D15" s="4" t="n"/>
      <c r="E15" s="4" t="n"/>
      <c r="F15" s="4" t="n"/>
      <c r="G15" s="4" t="n"/>
      <c r="H15" s="4" t="n"/>
      <c r="I15" s="7" t="n"/>
      <c r="J15" s="8">
        <f>IF(OR(I15="",B15=""),"",I15-B15)</f>
        <v/>
      </c>
    </row>
    <row r="16">
      <c r="A16" s="4" t="n"/>
      <c r="B16" s="7" t="n"/>
      <c r="C16" s="4" t="n"/>
      <c r="D16" s="4" t="n"/>
      <c r="E16" s="4" t="n"/>
      <c r="F16" s="4" t="n"/>
      <c r="G16" s="4" t="n"/>
      <c r="H16" s="4" t="n"/>
      <c r="I16" s="7" t="n"/>
      <c r="J16" s="8">
        <f>IF(OR(I16="",B16=""),"",I16-B16)</f>
        <v/>
      </c>
    </row>
    <row r="17">
      <c r="A17" s="4" t="n"/>
      <c r="B17" s="7" t="n"/>
      <c r="C17" s="4" t="n"/>
      <c r="D17" s="4" t="n"/>
      <c r="E17" s="4" t="n"/>
      <c r="F17" s="4" t="n"/>
      <c r="G17" s="4" t="n"/>
      <c r="H17" s="4" t="n"/>
      <c r="I17" s="7" t="n"/>
      <c r="J17" s="8">
        <f>IF(OR(I17="",B17=""),"",I17-B17)</f>
        <v/>
      </c>
    </row>
    <row r="18">
      <c r="A18" s="4" t="n"/>
      <c r="B18" s="7" t="n"/>
      <c r="C18" s="4" t="n"/>
      <c r="D18" s="4" t="n"/>
      <c r="E18" s="4" t="n"/>
      <c r="F18" s="4" t="n"/>
      <c r="G18" s="4" t="n"/>
      <c r="H18" s="4" t="n"/>
      <c r="I18" s="7" t="n"/>
      <c r="J18" s="8">
        <f>IF(OR(I18="",B18=""),"",I18-B18)</f>
        <v/>
      </c>
    </row>
    <row r="19">
      <c r="A19" s="4" t="n"/>
      <c r="B19" s="7" t="n"/>
      <c r="C19" s="4" t="n"/>
      <c r="D19" s="4" t="n"/>
      <c r="E19" s="4" t="n"/>
      <c r="F19" s="4" t="n"/>
      <c r="G19" s="4" t="n"/>
      <c r="H19" s="4" t="n"/>
      <c r="I19" s="7" t="n"/>
      <c r="J19" s="8">
        <f>IF(OR(I19="",B19=""),"",I19-B19)</f>
        <v/>
      </c>
    </row>
    <row r="20">
      <c r="A20" s="4" t="n"/>
      <c r="B20" s="7" t="n"/>
      <c r="C20" s="4" t="n"/>
      <c r="D20" s="4" t="n"/>
      <c r="E20" s="4" t="n"/>
      <c r="F20" s="4" t="n"/>
      <c r="G20" s="4" t="n"/>
      <c r="H20" s="4" t="n"/>
      <c r="I20" s="7" t="n"/>
      <c r="J20" s="8">
        <f>IF(OR(I20="",B20=""),"",I20-B20)</f>
        <v/>
      </c>
    </row>
    <row r="21">
      <c r="A21" s="4" t="n"/>
      <c r="B21" s="7" t="n"/>
      <c r="C21" s="4" t="n"/>
      <c r="D21" s="4" t="n"/>
      <c r="E21" s="4" t="n"/>
      <c r="F21" s="4" t="n"/>
      <c r="G21" s="4" t="n"/>
      <c r="H21" s="4" t="n"/>
      <c r="I21" s="7" t="n"/>
      <c r="J21" s="8">
        <f>IF(OR(I21="",B21=""),"",I21-B21)</f>
        <v/>
      </c>
    </row>
    <row r="22">
      <c r="A22" s="4" t="n"/>
      <c r="B22" s="7" t="n"/>
      <c r="C22" s="4" t="n"/>
      <c r="D22" s="4" t="n"/>
      <c r="E22" s="4" t="n"/>
      <c r="F22" s="4" t="n"/>
      <c r="G22" s="4" t="n"/>
      <c r="H22" s="4" t="n"/>
      <c r="I22" s="7" t="n"/>
      <c r="J22" s="8">
        <f>IF(OR(I22="",B22=""),"",I22-B22)</f>
        <v/>
      </c>
    </row>
    <row r="23">
      <c r="A23" s="4" t="n"/>
      <c r="B23" s="7" t="n"/>
      <c r="C23" s="4" t="n"/>
      <c r="D23" s="4" t="n"/>
      <c r="E23" s="4" t="n"/>
      <c r="F23" s="4" t="n"/>
      <c r="G23" s="4" t="n"/>
      <c r="H23" s="4" t="n"/>
      <c r="I23" s="7" t="n"/>
      <c r="J23" s="8">
        <f>IF(OR(I23="",B23=""),"",I23-B23)</f>
        <v/>
      </c>
    </row>
    <row r="24">
      <c r="A24" s="4" t="n"/>
      <c r="B24" s="7" t="n"/>
      <c r="C24" s="4" t="n"/>
      <c r="D24" s="4" t="n"/>
      <c r="E24" s="4" t="n"/>
      <c r="F24" s="4" t="n"/>
      <c r="G24" s="4" t="n"/>
      <c r="H24" s="4" t="n"/>
      <c r="I24" s="7" t="n"/>
      <c r="J24" s="8">
        <f>IF(OR(I24="",B24=""),"",I24-B24)</f>
        <v/>
      </c>
    </row>
    <row r="25">
      <c r="A25" s="4" t="n"/>
      <c r="B25" s="7" t="n"/>
      <c r="C25" s="4" t="n"/>
      <c r="D25" s="4" t="n"/>
      <c r="E25" s="4" t="n"/>
      <c r="F25" s="4" t="n"/>
      <c r="G25" s="4" t="n"/>
      <c r="H25" s="4" t="n"/>
      <c r="I25" s="7" t="n"/>
      <c r="J25" s="8">
        <f>IF(OR(I25="",B25=""),"",I25-B25)</f>
        <v/>
      </c>
    </row>
    <row r="26">
      <c r="A26" s="4" t="n"/>
      <c r="B26" s="7" t="n"/>
      <c r="C26" s="4" t="n"/>
      <c r="D26" s="4" t="n"/>
      <c r="E26" s="4" t="n"/>
      <c r="F26" s="4" t="n"/>
      <c r="G26" s="4" t="n"/>
      <c r="H26" s="4" t="n"/>
      <c r="I26" s="7" t="n"/>
      <c r="J26" s="8">
        <f>IF(OR(I26="",B26=""),"",I26-B26)</f>
        <v/>
      </c>
    </row>
    <row r="27">
      <c r="A27" s="4" t="n"/>
      <c r="B27" s="7" t="n"/>
      <c r="C27" s="4" t="n"/>
      <c r="D27" s="4" t="n"/>
      <c r="E27" s="4" t="n"/>
      <c r="F27" s="4" t="n"/>
      <c r="G27" s="4" t="n"/>
      <c r="H27" s="4" t="n"/>
      <c r="I27" s="7" t="n"/>
      <c r="J27" s="8">
        <f>IF(OR(I27="",B27=""),"",I27-B27)</f>
        <v/>
      </c>
    </row>
    <row r="28">
      <c r="A28" s="4" t="n"/>
      <c r="B28" s="7" t="n"/>
      <c r="C28" s="4" t="n"/>
      <c r="D28" s="4" t="n"/>
      <c r="E28" s="4" t="n"/>
      <c r="F28" s="4" t="n"/>
      <c r="G28" s="4" t="n"/>
      <c r="H28" s="4" t="n"/>
      <c r="I28" s="7" t="n"/>
      <c r="J28" s="8">
        <f>IF(OR(I28="",B28=""),"",I28-B28)</f>
        <v/>
      </c>
    </row>
    <row r="29">
      <c r="A29" s="4" t="n"/>
      <c r="B29" s="7" t="n"/>
      <c r="C29" s="4" t="n"/>
      <c r="D29" s="4" t="n"/>
      <c r="E29" s="4" t="n"/>
      <c r="F29" s="4" t="n"/>
      <c r="G29" s="4" t="n"/>
      <c r="H29" s="4" t="n"/>
      <c r="I29" s="7" t="n"/>
      <c r="J29" s="8">
        <f>IF(OR(I29="",B29=""),"",I29-B29)</f>
        <v/>
      </c>
    </row>
    <row r="30">
      <c r="A30" s="4" t="n"/>
      <c r="B30" s="7" t="n"/>
      <c r="C30" s="4" t="n"/>
      <c r="D30" s="4" t="n"/>
      <c r="E30" s="4" t="n"/>
      <c r="F30" s="4" t="n"/>
      <c r="G30" s="4" t="n"/>
      <c r="H30" s="4" t="n"/>
      <c r="I30" s="7" t="n"/>
      <c r="J30" s="8">
        <f>IF(OR(I30="",B30=""),"",I30-B30)</f>
        <v/>
      </c>
    </row>
    <row r="31">
      <c r="A31" s="4" t="n"/>
      <c r="B31" s="7" t="n"/>
      <c r="C31" s="4" t="n"/>
      <c r="D31" s="4" t="n"/>
      <c r="E31" s="4" t="n"/>
      <c r="F31" s="4" t="n"/>
      <c r="G31" s="4" t="n"/>
      <c r="H31" s="4" t="n"/>
      <c r="I31" s="7" t="n"/>
      <c r="J31" s="8">
        <f>IF(OR(I31="",B31=""),"",I31-B31)</f>
        <v/>
      </c>
    </row>
    <row r="32">
      <c r="A32" s="4" t="n"/>
      <c r="B32" s="7" t="n"/>
      <c r="C32" s="4" t="n"/>
      <c r="D32" s="4" t="n"/>
      <c r="E32" s="4" t="n"/>
      <c r="F32" s="4" t="n"/>
      <c r="G32" s="4" t="n"/>
      <c r="H32" s="4" t="n"/>
      <c r="I32" s="7" t="n"/>
      <c r="J32" s="8">
        <f>IF(OR(I32="",B32=""),"",I32-B32)</f>
        <v/>
      </c>
    </row>
    <row r="33">
      <c r="A33" s="4" t="n"/>
      <c r="B33" s="7" t="n"/>
      <c r="C33" s="4" t="n"/>
      <c r="D33" s="4" t="n"/>
      <c r="E33" s="4" t="n"/>
      <c r="F33" s="4" t="n"/>
      <c r="G33" s="4" t="n"/>
      <c r="H33" s="4" t="n"/>
      <c r="I33" s="7" t="n"/>
      <c r="J33" s="8">
        <f>IF(OR(I33="",B33=""),"",I33-B33)</f>
        <v/>
      </c>
    </row>
    <row r="34">
      <c r="A34" s="4" t="n"/>
      <c r="B34" s="7" t="n"/>
      <c r="C34" s="4" t="n"/>
      <c r="D34" s="4" t="n"/>
      <c r="E34" s="4" t="n"/>
      <c r="F34" s="4" t="n"/>
      <c r="G34" s="4" t="n"/>
      <c r="H34" s="4" t="n"/>
      <c r="I34" s="7" t="n"/>
      <c r="J34" s="8">
        <f>IF(OR(I34="",B34=""),"",I34-B34)</f>
        <v/>
      </c>
    </row>
    <row r="35">
      <c r="A35" s="4" t="n"/>
      <c r="B35" s="7" t="n"/>
      <c r="C35" s="4" t="n"/>
      <c r="D35" s="4" t="n"/>
      <c r="E35" s="4" t="n"/>
      <c r="F35" s="4" t="n"/>
      <c r="G35" s="4" t="n"/>
      <c r="H35" s="4" t="n"/>
      <c r="I35" s="7" t="n"/>
      <c r="J35" s="8">
        <f>IF(OR(I35="",B35=""),"",I35-B35)</f>
        <v/>
      </c>
    </row>
    <row r="36">
      <c r="A36" s="4" t="n"/>
      <c r="B36" s="7" t="n"/>
      <c r="C36" s="4" t="n"/>
      <c r="D36" s="4" t="n"/>
      <c r="E36" s="4" t="n"/>
      <c r="F36" s="4" t="n"/>
      <c r="G36" s="4" t="n"/>
      <c r="H36" s="4" t="n"/>
      <c r="I36" s="7" t="n"/>
      <c r="J36" s="8">
        <f>IF(OR(I36="",B36=""),"",I36-B36)</f>
        <v/>
      </c>
    </row>
    <row r="37">
      <c r="A37" s="4" t="n"/>
      <c r="B37" s="7" t="n"/>
      <c r="C37" s="4" t="n"/>
      <c r="D37" s="4" t="n"/>
      <c r="E37" s="4" t="n"/>
      <c r="F37" s="4" t="n"/>
      <c r="G37" s="4" t="n"/>
      <c r="H37" s="4" t="n"/>
      <c r="I37" s="7" t="n"/>
      <c r="J37" s="8">
        <f>IF(OR(I37="",B37=""),"",I37-B37)</f>
        <v/>
      </c>
    </row>
    <row r="38">
      <c r="A38" s="4" t="n"/>
      <c r="B38" s="7" t="n"/>
      <c r="C38" s="4" t="n"/>
      <c r="D38" s="4" t="n"/>
      <c r="E38" s="4" t="n"/>
      <c r="F38" s="4" t="n"/>
      <c r="G38" s="4" t="n"/>
      <c r="H38" s="4" t="n"/>
      <c r="I38" s="7" t="n"/>
      <c r="J38" s="8">
        <f>IF(OR(I38="",B38=""),"",I38-B38)</f>
        <v/>
      </c>
    </row>
    <row r="39">
      <c r="A39" s="4" t="n"/>
      <c r="B39" s="7" t="n"/>
      <c r="C39" s="4" t="n"/>
      <c r="D39" s="4" t="n"/>
      <c r="E39" s="4" t="n"/>
      <c r="F39" s="4" t="n"/>
      <c r="G39" s="4" t="n"/>
      <c r="H39" s="4" t="n"/>
      <c r="I39" s="7" t="n"/>
      <c r="J39" s="8">
        <f>IF(OR(I39="",B39=""),"",I39-B39)</f>
        <v/>
      </c>
    </row>
    <row r="40">
      <c r="A40" s="4" t="n"/>
      <c r="B40" s="7" t="n"/>
      <c r="C40" s="4" t="n"/>
      <c r="D40" s="4" t="n"/>
      <c r="E40" s="4" t="n"/>
      <c r="F40" s="4" t="n"/>
      <c r="G40" s="4" t="n"/>
      <c r="H40" s="4" t="n"/>
      <c r="I40" s="7" t="n"/>
      <c r="J40" s="8">
        <f>IF(OR(I40="",B40=""),"",I40-B40)</f>
        <v/>
      </c>
    </row>
    <row r="41">
      <c r="A41" s="4" t="n"/>
      <c r="B41" s="7" t="n"/>
      <c r="C41" s="4" t="n"/>
      <c r="D41" s="4" t="n"/>
      <c r="E41" s="4" t="n"/>
      <c r="F41" s="4" t="n"/>
      <c r="G41" s="4" t="n"/>
      <c r="H41" s="4" t="n"/>
      <c r="I41" s="7" t="n"/>
      <c r="J41" s="8">
        <f>IF(OR(I41="",B41=""),"",I41-B41)</f>
        <v/>
      </c>
    </row>
  </sheetData>
  <conditionalFormatting sqref="A12:J41">
    <cfRule type="expression" priority="1" dxfId="0">
      <formula>AND(ISNUMBER($I12),ISNUMBER($B12),$I12&gt;$B12)</formula>
    </cfRule>
  </conditionalFormatting>
  <dataValidations count="2">
    <dataValidation sqref="D12:D41" showDropDown="0" showInputMessage="0" showErrorMessage="0" allowBlank="1" type="list">
      <formula1>"U,E,K,U+E,U+K,E+K,None: choose again"</formula1>
    </dataValidation>
    <dataValidation sqref="E12:H41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7"/>
  <sheetViews>
    <sheetView showGridLines="0" workbookViewId="0">
      <selection activeCell="A1" sqref="A1"/>
    </sheetView>
  </sheetViews>
  <sheetFormatPr baseColWidth="8" defaultRowHeight="15"/>
  <cols>
    <col width="30" customWidth="1" min="1" max="1"/>
    <col width="62" customWidth="1" min="2" max="2"/>
    <col width="11" customWidth="1" min="3" max="3"/>
    <col width="12" customWidth="1" min="4" max="4"/>
    <col width="7" customWidth="1" min="5" max="5"/>
    <col width="14" customWidth="1" min="6" max="6"/>
  </cols>
  <sheetData>
    <row r="1">
      <c r="A1" s="1" t="inlineStr">
        <is>
          <t>The Holiday Tipping Card</t>
        </is>
      </c>
    </row>
    <row r="2">
      <c r="A2" s="2" t="inlineStr">
        <is>
          <t>Typical guidance (Emily Post Institute), not law. Only the USPS line is a rule. Done by 15 December.</t>
        </is>
      </c>
    </row>
    <row r="3">
      <c r="A3" t="inlineStr">
        <is>
          <t>Days left until 15 December:</t>
        </is>
      </c>
      <c r="C3" s="6">
        <f>MAX(0,DATE(YEAR(TODAY()),12,15)-TODAY())</f>
        <v/>
      </c>
    </row>
    <row r="4">
      <c r="A4" s="3" t="inlineStr">
        <is>
          <t>Who</t>
        </is>
      </c>
      <c r="B4" s="3" t="inlineStr">
        <is>
          <t>Typical guidance</t>
        </is>
      </c>
      <c r="C4" s="3" t="inlineStr">
        <is>
          <t>My sum $</t>
        </is>
      </c>
      <c r="D4" s="3" t="inlineStr">
        <is>
          <t>Card written</t>
        </is>
      </c>
      <c r="E4" s="3" t="inlineStr">
        <is>
          <t>Given</t>
        </is>
      </c>
      <c r="F4" s="3" t="inlineStr">
        <is>
          <t>Date</t>
        </is>
      </c>
    </row>
    <row r="5">
      <c r="A5" s="4" t="inlineStr">
        <is>
          <t>Cleaner or housekeeper</t>
        </is>
      </c>
      <c r="B5" s="9" t="inlineStr">
        <is>
          <t>Up to one week's pay</t>
        </is>
      </c>
      <c r="C5" s="7" t="n"/>
      <c r="D5" s="4" t="n"/>
      <c r="E5" s="4" t="n"/>
      <c r="F5" s="10" t="n"/>
    </row>
    <row r="6">
      <c r="A6" s="4" t="inlineStr">
        <is>
          <t>Regular sitter or nanny</t>
        </is>
      </c>
      <c r="B6" s="9" t="inlineStr">
        <is>
          <t>Up to one week's pay, plus a small gift from the children</t>
        </is>
      </c>
      <c r="C6" s="7" t="n"/>
      <c r="D6" s="4" t="n"/>
      <c r="E6" s="4" t="n"/>
      <c r="F6" s="10" t="n"/>
    </row>
    <row r="7">
      <c r="A7" s="4" t="inlineStr">
        <is>
          <t>Dog walker</t>
        </is>
      </c>
      <c r="B7" s="9" t="inlineStr">
        <is>
          <t>Up to one week's pay</t>
        </is>
      </c>
      <c r="C7" s="7" t="n"/>
      <c r="D7" s="4" t="n"/>
      <c r="E7" s="4" t="n"/>
      <c r="F7" s="10" t="n"/>
    </row>
    <row r="8">
      <c r="A8" s="4" t="inlineStr">
        <is>
          <t>Hairdresser or barber</t>
        </is>
      </c>
      <c r="B8" s="9" t="inlineStr">
        <is>
          <t>The cost of one visit</t>
        </is>
      </c>
      <c r="C8" s="7" t="n"/>
      <c r="D8" s="4" t="n"/>
      <c r="E8" s="4" t="n"/>
      <c r="F8" s="10" t="n"/>
    </row>
    <row r="9">
      <c r="A9" s="4" t="inlineStr">
        <is>
          <t>Teacher</t>
        </is>
      </c>
      <c r="B9" s="9" t="inlineStr">
        <is>
          <t>A gift, not cash (check the school's policy first)</t>
        </is>
      </c>
      <c r="C9" s="7" t="n"/>
      <c r="D9" s="4" t="n"/>
      <c r="E9" s="4" t="n"/>
      <c r="F9" s="10" t="n"/>
    </row>
    <row r="10">
      <c r="A10" s="4" t="inlineStr">
        <is>
          <t>US mail carrier</t>
        </is>
      </c>
      <c r="B10" s="9" t="inlineStr">
        <is>
          <t>USPS rule: a non-cash gift worth $20 or less; never cash or cash-like gift cards</t>
        </is>
      </c>
      <c r="C10" s="7" t="n"/>
      <c r="D10" s="4" t="n"/>
      <c r="E10" s="4" t="n"/>
      <c r="F10" s="10" t="n"/>
    </row>
    <row r="11">
      <c r="A11" s="4" t="inlineStr">
        <is>
          <t>Doorman or building super</t>
        </is>
      </c>
      <c r="B11" s="9" t="inlineStr">
        <is>
          <t>$25–$100+, by city and effort</t>
        </is>
      </c>
      <c r="C11" s="7" t="n"/>
      <c r="D11" s="4" t="n"/>
      <c r="E11" s="4" t="n"/>
      <c r="F11" s="10" t="n"/>
    </row>
    <row r="12">
      <c r="A12" s="4" t="inlineStr">
        <is>
          <t>Bin (trash) collectors</t>
        </is>
      </c>
      <c r="B12" s="9" t="inlineStr">
        <is>
          <t>$10–$30 each, where allowed</t>
        </is>
      </c>
      <c r="C12" s="7" t="n"/>
      <c r="D12" s="4" t="n"/>
      <c r="E12" s="4" t="n"/>
      <c r="F12" s="10" t="n"/>
    </row>
    <row r="13">
      <c r="A13" s="4" t="inlineStr">
        <is>
          <t>Regular delivery driver</t>
        </is>
      </c>
      <c r="B13" s="9" t="inlineStr">
        <is>
          <t>Snacks or a small gift</t>
        </is>
      </c>
      <c r="C13" s="7" t="n"/>
      <c r="D13" s="4" t="n"/>
      <c r="E13" s="4" t="n"/>
      <c r="F13" s="10" t="n"/>
    </row>
    <row r="14">
      <c r="A14" s="4" t="n"/>
      <c r="B14" s="9" t="n"/>
      <c r="C14" s="7" t="n"/>
      <c r="D14" s="4" t="n"/>
      <c r="E14" s="4" t="n"/>
      <c r="F14" s="10" t="n"/>
    </row>
    <row r="15">
      <c r="A15" s="4" t="n"/>
      <c r="B15" s="9" t="n"/>
      <c r="C15" s="7" t="n"/>
      <c r="D15" s="4" t="n"/>
      <c r="E15" s="4" t="n"/>
      <c r="F15" s="10" t="n"/>
    </row>
    <row r="16">
      <c r="A16" t="inlineStr">
        <is>
          <t>Total for Staff &amp; Service (flows into the Ledger)</t>
        </is>
      </c>
      <c r="C16" s="11">
        <f>SUM(C5:C15)</f>
        <v/>
      </c>
    </row>
    <row r="17">
      <c r="A17" t="inlineStr">
        <is>
          <t>Total given</t>
        </is>
      </c>
      <c r="C17" s="11">
        <f>SUMIF(E5:E15,"✓",C5:C15)</f>
        <v/>
      </c>
    </row>
  </sheetData>
  <dataValidations count="1">
    <dataValidation sqref="D5:E15" showDropDown="0" showInputMessage="0" showErrorMessage="0" allowBlank="1" type="list">
      <formula1>"✓"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2026-10-15T23:24:26Z</dcterms:created>
  <dcterms:modified xmlns:dcterms="http://purl.org/dc/terms/" xmlns:xsi="http://www.w3.org/2001/XMLSchema-instance" xsi:type="dcterms:W3CDTF">2026-10-15T23:24:26Z</dcterms:modified>
</cp:coreProperties>
</file>