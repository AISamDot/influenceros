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 a Glance" sheetId="1" state="visible" r:id="rId1"/>
    <sheet xmlns:r="http://schemas.openxmlformats.org/officeDocument/2006/relationships" name="Clock" sheetId="2" state="visible" r:id="rId2"/>
    <sheet xmlns:r="http://schemas.openxmlformats.org/officeDocument/2006/relationships" name="Per-Plate" sheetId="3" state="visible" r:id="rId3"/>
    <sheet xmlns:r="http://schemas.openxmlformats.org/officeDocument/2006/relationships" name="Spend Log" sheetId="4" state="visible" r:id="rId4"/>
    <sheet xmlns:r="http://schemas.openxmlformats.org/officeDocument/2006/relationships" name="Assignments" sheetId="5" state="visible" r:id="rId5"/>
    <sheet xmlns:r="http://schemas.openxmlformats.org/officeDocument/2006/relationships" name="Drinks" sheetId="6" state="visible" r:id="rId6"/>
    <sheet xmlns:r="http://schemas.openxmlformats.org/officeDocument/2006/relationships" name="Shopping" sheetId="7" state="visible" r:id="rId7"/>
    <sheet xmlns:r="http://schemas.openxmlformats.org/officeDocument/2006/relationships" name="Gift Ledger" sheetId="8" state="visible" r:id="rId8"/>
    <sheet xmlns:r="http://schemas.openxmlformats.org/officeDocument/2006/relationships" name="Staff &amp; Service" sheetId="9" state="visible" r:id="rId9"/>
    <sheet xmlns:r="http://schemas.openxmlformats.org/officeDocument/2006/relationships" name="Thaw Sum" sheetId="10" state="visible" r:id="rId10"/>
    <sheet xmlns:r="http://schemas.openxmlformats.org/officeDocument/2006/relationships" name="Oven" sheetId="11" state="visible" r:id="rId11"/>
    <sheet xmlns:r="http://schemas.openxmlformats.org/officeDocument/2006/relationships" name="Thank-Yous" sheetId="12" state="visible" r:id="rId12"/>
    <sheet xmlns:r="http://schemas.openxmlformats.org/officeDocument/2006/relationships" name="Reckoni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d d mmm yyyy"/>
    <numFmt numFmtId="165" formatCode="&quot;$&quot;#,##0.00"/>
    <numFmt numFmtId="166" formatCode="0.0"/>
    <numFmt numFmtId="167" formatCode="ddd d mmm yyyy h:mm AM/PM"/>
  </numFmts>
  <fonts count="8">
    <font>
      <name val="Calibri"/>
      <family val="2"/>
      <color theme="1"/>
      <sz val="11"/>
      <scheme val="minor"/>
    </font>
    <font>
      <b val="1"/>
      <color rgb="001F3440"/>
      <sz val="14"/>
    </font>
    <font>
      <i val="1"/>
      <color rgb="003A3B3D"/>
    </font>
    <font>
      <b val="1"/>
    </font>
    <font>
      <b val="1"/>
      <color rgb="00161D2A"/>
    </font>
    <font>
      <b val="1"/>
      <color rgb="00FFFFFF"/>
    </font>
    <font>
      <color rgb="00161D2A"/>
    </font>
    <font>
      <b val="1"/>
      <color rgb="001F3440"/>
    </font>
  </fonts>
  <fills count="4">
    <fill>
      <patternFill/>
    </fill>
    <fill>
      <patternFill patternType="gray125"/>
    </fill>
    <fill>
      <patternFill patternType="solid">
        <fgColor rgb="00F1EEE7"/>
      </patternFill>
    </fill>
    <fill>
      <patternFill patternType="solid">
        <fgColor rgb="001F3440"/>
      </patternFill>
    </fill>
  </fills>
  <borders count="6">
    <border>
      <left/>
      <right/>
      <top/>
      <bottom/>
      <diagonal/>
    </border>
    <border>
      <left style="thin">
        <color rgb="00C9CCCF"/>
      </left>
      <right style="thin">
        <color rgb="00C9CCCF"/>
      </right>
      <top style="thin">
        <color rgb="00C9CCCF"/>
      </top>
      <bottom style="thin">
        <color rgb="00C9CCCF"/>
      </bottom>
    </border>
    <border>
      <left/>
      <right/>
      <top style="thin">
        <color rgb="00C9CCCF"/>
      </top>
      <bottom/>
      <diagonal/>
    </border>
    <border>
      <left/>
      <right style="thin">
        <color rgb="00C9CCCF"/>
      </right>
      <top style="thin">
        <color rgb="00C9CCCF"/>
      </top>
      <bottom/>
      <diagonal/>
    </border>
    <border>
      <left/>
      <right/>
      <top style="thin">
        <color rgb="00C9CCCF"/>
      </top>
      <bottom style="thin">
        <color rgb="00C9CCCF"/>
      </bottom>
      <diagonal/>
    </border>
    <border>
      <left/>
      <right style="thin">
        <color rgb="00C9CCCF"/>
      </right>
      <top style="thin">
        <color rgb="00C9CCCF"/>
      </top>
      <bottom style="thin">
        <color rgb="00C9CCC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164" fontId="0" fillId="2" borderId="1" pivotButton="0" quotePrefix="0" xfId="0"/>
    <xf numFmtId="18" fontId="0" fillId="2" borderId="1" pivotButton="0" quotePrefix="0" xfId="0"/>
    <xf numFmtId="1" fontId="0" fillId="2" borderId="1" pivotButton="0" quotePrefix="0" xfId="0"/>
    <xf numFmtId="165" fontId="0" fillId="2" borderId="1" pivotButton="0" quotePrefix="0" xfId="0"/>
    <xf numFmtId="0" fontId="3" fillId="0" borderId="0" pivotButton="0" quotePrefix="0" xfId="0"/>
    <xf numFmtId="165" fontId="4" fillId="0" borderId="1" pivotButton="0" quotePrefix="0" xfId="0"/>
    <xf numFmtId="166" fontId="4" fillId="0" borderId="1" pivotButton="0" quotePrefix="0" xfId="0"/>
    <xf numFmtId="164" fontId="4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vertical="center" wrapText="1"/>
    </xf>
    <xf numFmtId="0" fontId="0" fillId="0" borderId="1" pivotButton="0" quotePrefix="0" xfId="0"/>
    <xf numFmtId="164" fontId="6" fillId="0" borderId="1" pivotButton="0" quotePrefix="0" xfId="0"/>
    <xf numFmtId="9" fontId="0" fillId="2" borderId="1" pivotButton="0" quotePrefix="0" xfId="0"/>
    <xf numFmtId="165" fontId="6" fillId="0" borderId="1" pivotButton="0" quotePrefix="0" xfId="0"/>
    <xf numFmtId="9" fontId="4" fillId="0" borderId="1" pivotButton="0" quotePrefix="0" xfId="0"/>
    <xf numFmtId="0" fontId="6" fillId="0" borderId="1" pivotButton="0" quotePrefix="0" xfId="0"/>
    <xf numFmtId="166" fontId="0" fillId="2" borderId="1" pivotButton="0" quotePrefix="0" xfId="0"/>
    <xf numFmtId="166" fontId="6" fillId="0" borderId="1" pivotButton="0" quotePrefix="0" xfId="0"/>
    <xf numFmtId="1" fontId="6" fillId="0" borderId="1" pivotButton="0" quotePrefix="0" xfId="0"/>
    <xf numFmtId="167" fontId="0" fillId="2" borderId="1" pivotButton="0" quotePrefix="0" xfId="0"/>
    <xf numFmtId="0" fontId="7" fillId="0" borderId="0" pivotButton="0" quotePrefix="0" xfId="0"/>
    <xf numFmtId="167" fontId="4" fillId="0" borderId="1" pivotButton="0" quotePrefix="0" xfId="0"/>
    <xf numFmtId="167" fontId="6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D9A55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 calm line</a:t>
            </a:r>
          </a:p>
        </rich>
      </tx>
    </title>
    <plotArea>
      <lineChart>
        <grouping val="standard"/>
        <ser>
          <idx val="0"/>
          <order val="0"/>
          <tx>
            <strRef>
              <f>'Reckoning'!B16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'Reckoning'!$A$17:$A$22</f>
            </numRef>
          </cat>
          <val>
            <numRef>
              <f>'Reckoning'!$B$17:$B$22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0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6" customWidth="1" min="2" max="2"/>
  </cols>
  <sheetData>
    <row r="1">
      <c r="A1" s="1" t="inlineStr">
        <is>
          <t>Your Gathering at a Glance</t>
        </is>
      </c>
    </row>
    <row r="2">
      <c r="A2" s="2" t="inlineStr">
        <is>
          <t>Type in the Linen cells only. Every other tab reads from this one. Thanksgiving 2026: Thu 26 Nov 2026 · Christmas: Fri 25 Dec 2026.</t>
        </is>
      </c>
    </row>
    <row r="4">
      <c r="A4" t="inlineStr">
        <is>
          <t>Occasion</t>
        </is>
      </c>
      <c r="B4" s="3" t="n"/>
    </row>
    <row r="5">
      <c r="A5" t="inlineStr">
        <is>
          <t>T-0 date (the day itself)</t>
        </is>
      </c>
      <c r="B5" s="4" t="n"/>
    </row>
    <row r="6">
      <c r="A6" t="inlineStr">
        <is>
          <t>Doorbell time</t>
        </is>
      </c>
      <c r="B6" s="5" t="n"/>
    </row>
    <row r="7">
      <c r="A7" t="inlineStr">
        <is>
          <t>Sit-down time</t>
        </is>
      </c>
      <c r="B7" s="5" t="n"/>
    </row>
    <row r="8">
      <c r="A8" t="inlineStr">
        <is>
          <t>End time</t>
        </is>
      </c>
      <c r="B8" s="5" t="n"/>
    </row>
    <row r="9">
      <c r="A9" t="inlineStr">
        <is>
          <t>Guests, host included</t>
        </is>
      </c>
      <c r="B9" s="6" t="n"/>
    </row>
    <row r="10">
      <c r="A10" t="inlineStr">
        <is>
          <t>Total budget: food, drink, table</t>
        </is>
      </c>
      <c r="B10" s="7" t="n"/>
    </row>
    <row r="11">
      <c r="A11" s="8" t="inlineStr">
        <is>
          <t>Per-Plate Number (budget ÷ guests)</t>
        </is>
      </c>
      <c r="B11" s="9">
        <f>IFERROR(B10/B9,"")</f>
        <v/>
      </c>
    </row>
    <row r="12">
      <c r="A12" s="8" t="inlineStr">
        <is>
          <t>Hours, doorbell to end</t>
        </is>
      </c>
      <c r="B12" s="10">
        <f>IF(OR(B6="",B8=""),"",ROUND(MOD(B8-B6,1)*24,1))</f>
        <v/>
      </c>
    </row>
    <row r="13">
      <c r="A13" s="8" t="inlineStr">
        <is>
          <t>T-0 date the Clock is using</t>
        </is>
      </c>
      <c r="B13" s="11">
        <f>IF(Reckoning!B27&lt;&gt;"",Reckoning!B27,B5)</f>
        <v/>
      </c>
    </row>
    <row r="14">
      <c r="A14" s="8" t="inlineStr">
        <is>
          <t>Today</t>
        </is>
      </c>
      <c r="B14" s="11">
        <f>TODAY()</f>
        <v/>
      </c>
    </row>
    <row r="15">
      <c r="A15" s="8" t="inlineStr">
        <is>
          <t>Today's T-number</t>
        </is>
      </c>
      <c r="B15" s="12">
        <f>IF(B13="","",IF(B13-B14&gt;0,"T-"&amp;(B13-B14),IF(B13=B14,"T-0","T+"&amp;(B14-B13))))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8" customWidth="1" min="3" max="3"/>
    <col width="52" customWidth="1" min="4" max="4"/>
    <col width="8" customWidth="1" min="5" max="5"/>
    <col width="26" customWidth="1" min="6" max="6"/>
    <col width="7" customWidth="1" min="7" max="7"/>
    <col width="16" customWidth="1" min="8" max="8"/>
  </cols>
  <sheetData>
    <row r="1">
      <c r="A1" s="1" t="inlineStr">
        <is>
          <t>The Clock: 25 tasks, dated from your T-0</t>
        </is>
      </c>
    </row>
    <row r="2">
      <c r="A2" s="2" t="inlineStr">
        <is>
          <t>Dates come from 'At a Glance' (or next year's date on 'Reckoning', once you type it). Tick with ✓.</t>
        </is>
      </c>
    </row>
    <row r="3">
      <c r="A3" s="8" t="inlineStr">
        <is>
          <t>Today's task:</t>
        </is>
      </c>
      <c r="B3">
        <f>IF('At a Glance'!B13="","Type your T-0 date on At a Glance",IFERROR(INDEX(D6:D30,MATCH(TODAY(),C6:C30,0)),"No task dated today: see the next date below"))</f>
        <v/>
      </c>
      <c r="F3" t="inlineStr">
        <is>
          <t>Ticks:</t>
        </is>
      </c>
      <c r="G3">
        <f>COUNTIF(G6:G30,"✓")&amp;" / 25"</f>
        <v/>
      </c>
    </row>
    <row r="4">
      <c r="F4" t="inlineStr">
        <is>
          <t>Minutes:</t>
        </is>
      </c>
      <c r="G4">
        <f>COUNTIF(G6:G30,"✓")*15</f>
        <v/>
      </c>
    </row>
    <row r="5">
      <c r="A5" s="13" t="inlineStr">
        <is>
          <t>T</t>
        </is>
      </c>
      <c r="B5" s="13" t="inlineStr">
        <is>
          <t>Offset</t>
        </is>
      </c>
      <c r="C5" s="13" t="inlineStr">
        <is>
          <t>Date</t>
        </is>
      </c>
      <c r="D5" s="13" t="inlineStr">
        <is>
          <t>Today's fifteen minutes</t>
        </is>
      </c>
      <c r="E5" s="13" t="inlineStr">
        <is>
          <t>Page</t>
        </is>
      </c>
      <c r="F5" s="13" t="inlineStr">
        <is>
          <t>Write down one number</t>
        </is>
      </c>
      <c r="G5" s="13" t="inlineStr">
        <is>
          <t>Done</t>
        </is>
      </c>
      <c r="H5" s="13" t="inlineStr">
        <is>
          <t>My number</t>
        </is>
      </c>
    </row>
    <row r="6">
      <c r="A6" s="14" t="inlineStr">
        <is>
          <t>T-21</t>
        </is>
      </c>
      <c r="B6" s="14" t="n">
        <v>-21</v>
      </c>
      <c r="C6" s="15">
        <f>IF('At a Glance'!$B$13="","",'At a Glance'!$B$13+B6)</f>
        <v/>
      </c>
      <c r="D6" s="14" t="inlineStr">
        <is>
          <t>Fill in At a Glance; write the guest list; Briefing 1</t>
        </is>
      </c>
      <c r="E6" s="14" t="inlineStr">
        <is>
          <t>5</t>
        </is>
      </c>
      <c r="F6" s="14" t="inlineStr">
        <is>
          <t>Guests, host included</t>
        </is>
      </c>
      <c r="G6" s="3" t="n"/>
      <c r="H6" s="3" t="n"/>
    </row>
    <row r="7">
      <c r="A7" s="14" t="inlineStr">
        <is>
          <t>T-20</t>
        </is>
      </c>
      <c r="B7" s="14" t="n">
        <v>-20</v>
      </c>
      <c r="C7" s="15">
        <f>IF('At a Glance'!$B$13="","",'At a Glance'!$B$13+B7)</f>
        <v/>
      </c>
      <c r="D7" s="14" t="inlineStr">
        <is>
          <t>Set the Per-Plate Number</t>
        </is>
      </c>
      <c r="E7" s="14" t="inlineStr">
        <is>
          <t>12</t>
        </is>
      </c>
      <c r="F7" s="14" t="inlineStr">
        <is>
          <t>Per plate $</t>
        </is>
      </c>
      <c r="G7" s="3" t="n"/>
      <c r="H7" s="3" t="n"/>
    </row>
    <row r="8">
      <c r="A8" s="14" t="inlineStr">
        <is>
          <t>T-19</t>
        </is>
      </c>
      <c r="B8" s="14" t="n">
        <v>-19</v>
      </c>
      <c r="C8" s="15">
        <f>IF('At a Glance'!$B$13="","",'At a Glance'!$B$13+B8)</f>
        <v/>
      </c>
      <c r="D8" s="14" t="inlineStr">
        <is>
          <t>The Count: chairs, plates, glasses, napkins, dishes</t>
        </is>
      </c>
      <c r="E8" s="14" t="inlineStr">
        <is>
          <t>21</t>
        </is>
      </c>
      <c r="F8" s="14" t="inlineStr">
        <is>
          <t>Chairs short</t>
        </is>
      </c>
      <c r="G8" s="3" t="n"/>
      <c r="H8" s="3" t="n"/>
    </row>
    <row r="9">
      <c r="A9" s="14" t="inlineStr">
        <is>
          <t>T-18</t>
        </is>
      </c>
      <c r="B9" s="14" t="n">
        <v>-18</v>
      </c>
      <c r="C9" s="15">
        <f>IF('At a Glance'!$B$13="","",'At a Glance'!$B$13+B9)</f>
        <v/>
      </c>
      <c r="D9" s="14" t="inlineStr">
        <is>
          <t>One Showpiece; make-ahead menu around it</t>
        </is>
      </c>
      <c r="E9" s="14" t="inlineStr">
        <is>
          <t>27</t>
        </is>
      </c>
      <c r="F9" s="14" t="inlineStr">
        <is>
          <t>Dishes on the menu</t>
        </is>
      </c>
      <c r="G9" s="3" t="n"/>
      <c r="H9" s="3" t="n"/>
    </row>
    <row r="10">
      <c r="A10" s="14" t="inlineStr">
        <is>
          <t>T-17</t>
        </is>
      </c>
      <c r="B10" s="14" t="n">
        <v>-17</v>
      </c>
      <c r="C10" s="15">
        <f>IF('At a Glance'!$B$13="","",'At a Glance'!$B$13+B10)</f>
        <v/>
      </c>
      <c r="D10" s="14" t="inlineStr">
        <is>
          <t>Oven Timetable, first draft</t>
        </is>
      </c>
      <c r="E10" s="14" t="inlineStr">
        <is>
          <t>30</t>
        </is>
      </c>
      <c r="F10" s="14" t="inlineStr">
        <is>
          <t>Oven dishes in the last hour</t>
        </is>
      </c>
      <c r="G10" s="3" t="n"/>
      <c r="H10" s="3" t="n"/>
    </row>
    <row r="11">
      <c r="A11" s="14" t="inlineStr">
        <is>
          <t>T-16</t>
        </is>
      </c>
      <c r="B11" s="14" t="n">
        <v>-16</v>
      </c>
      <c r="C11" s="15">
        <f>IF('At a Glance'!$B$13="","",'At a Glance'!$B$13+B11)</f>
        <v/>
      </c>
      <c r="D11" s="14" t="inlineStr">
        <is>
          <t>Gift Ceiling: season total, ceiling per name</t>
        </is>
      </c>
      <c r="E11" s="14" t="inlineStr">
        <is>
          <t>15</t>
        </is>
      </c>
      <c r="F11" s="14" t="inlineStr">
        <is>
          <t>Season gift total $</t>
        </is>
      </c>
      <c r="G11" s="3" t="n"/>
      <c r="H11" s="3" t="n"/>
    </row>
    <row r="12">
      <c r="A12" s="14" t="inlineStr">
        <is>
          <t>T-15</t>
        </is>
      </c>
      <c r="B12" s="14" t="n">
        <v>-15</v>
      </c>
      <c r="C12" s="15">
        <f>IF('At a Glance'!$B$13="","",'At a Glance'!$B$13+B12)</f>
        <v/>
      </c>
      <c r="D12" s="14" t="inlineStr">
        <is>
          <t>Staff &amp; Service list; count the week's ticks</t>
        </is>
      </c>
      <c r="E12" s="14" t="inlineStr">
        <is>
          <t>16</t>
        </is>
      </c>
      <c r="F12" s="14" t="inlineStr">
        <is>
          <t>Staff &amp; Service total $</t>
        </is>
      </c>
      <c r="G12" s="3" t="n"/>
      <c r="H12" s="3" t="n"/>
    </row>
    <row r="13">
      <c r="A13" s="14" t="inlineStr">
        <is>
          <t>T-14</t>
        </is>
      </c>
      <c r="B13" s="14" t="n">
        <v>-14</v>
      </c>
      <c r="C13" s="15">
        <f>IF('At a Glance'!$B$13="","",'At a Glance'!$B$13+B13)</f>
        <v/>
      </c>
      <c r="D13" s="14" t="inlineStr">
        <is>
          <t>Send the invitation; Briefing 2</t>
        </is>
      </c>
      <c r="E13" s="14" t="inlineStr">
        <is>
          <t>22</t>
        </is>
      </c>
      <c r="F13" s="14" t="inlineStr">
        <is>
          <t>Invitations sent</t>
        </is>
      </c>
      <c r="G13" s="3" t="n"/>
      <c r="H13" s="3" t="n"/>
    </row>
    <row r="14">
      <c r="A14" s="14" t="inlineStr">
        <is>
          <t>T-13</t>
        </is>
      </c>
      <c r="B14" s="14" t="n">
        <v>-13</v>
      </c>
      <c r="C14" s="15">
        <f>IF('At a Glance'!$B$13="","",'At a Glance'!$B$13+B14)</f>
        <v/>
      </c>
      <c r="D14" s="14" t="inlineStr">
        <is>
          <t>Assign dishes, not dollars</t>
        </is>
      </c>
      <c r="E14" s="14" t="inlineStr">
        <is>
          <t>14</t>
        </is>
      </c>
      <c r="F14" s="14" t="inlineStr">
        <is>
          <t>Dishes assigned</t>
        </is>
      </c>
      <c r="G14" s="3" t="n"/>
      <c r="H14" s="3" t="n"/>
    </row>
    <row r="15">
      <c r="A15" s="14" t="inlineStr">
        <is>
          <t>T-12</t>
        </is>
      </c>
      <c r="B15" s="14" t="n">
        <v>-12</v>
      </c>
      <c r="C15" s="15">
        <f>IF('At a Glance'!$B$13="","",'At a Glance'!$B$13+B15)</f>
        <v/>
      </c>
      <c r="D15" s="14" t="inlineStr">
        <is>
          <t>Choose the table level; draft the seating</t>
        </is>
      </c>
      <c r="E15" s="14" t="inlineStr">
        <is>
          <t>18, 26</t>
        </is>
      </c>
      <c r="F15" s="14" t="inlineStr">
        <is>
          <t>Place settings</t>
        </is>
      </c>
      <c r="G15" s="3" t="n"/>
      <c r="H15" s="3" t="n"/>
    </row>
    <row r="16">
      <c r="A16" s="14" t="inlineStr">
        <is>
          <t>T-11</t>
        </is>
      </c>
      <c r="B16" s="14" t="n">
        <v>-11</v>
      </c>
      <c r="C16" s="15">
        <f>IF('At a Glance'!$B$13="","",'At a Glance'!$B$13+B16)</f>
        <v/>
      </c>
      <c r="D16" s="14" t="inlineStr">
        <is>
          <t>Drinks maths</t>
        </is>
      </c>
      <c r="E16" s="14" t="inlineStr">
        <is>
          <t>28</t>
        </is>
      </c>
      <c r="F16" s="14" t="inlineStr">
        <is>
          <t>Bottles needed</t>
        </is>
      </c>
      <c r="G16" s="3" t="n"/>
      <c r="H16" s="3" t="n"/>
    </row>
    <row r="17">
      <c r="A17" s="14" t="inlineStr">
        <is>
          <t>T-10</t>
        </is>
      </c>
      <c r="B17" s="14" t="n">
        <v>-10</v>
      </c>
      <c r="C17" s="15">
        <f>IF('At a Glance'!$B$13="","",'At a Glance'!$B$13+B17)</f>
        <v/>
      </c>
      <c r="D17" s="14" t="inlineStr">
        <is>
          <t>Shopping list, part one (Christmas: Staff &amp; Service deadline)</t>
        </is>
      </c>
      <c r="E17" s="14" t="inlineStr">
        <is>
          <t>28, 16</t>
        </is>
      </c>
      <c r="F17" s="14" t="inlineStr">
        <is>
          <t>Items on the list</t>
        </is>
      </c>
      <c r="G17" s="3" t="n"/>
      <c r="H17" s="3" t="n"/>
    </row>
    <row r="18">
      <c r="A18" s="14" t="inlineStr">
        <is>
          <t>T-9</t>
        </is>
      </c>
      <c r="B18" s="14" t="n">
        <v>-9</v>
      </c>
      <c r="C18" s="15">
        <f>IF('At a Glance'!$B$13="","",'At a Glance'!$B$13+B18)</f>
        <v/>
      </c>
      <c r="D18" s="14" t="inlineStr">
        <is>
          <t>RSVP chase; recalculate per-plate</t>
        </is>
      </c>
      <c r="E18" s="14" t="inlineStr">
        <is>
          <t>22, 12</t>
        </is>
      </c>
      <c r="F18" s="14" t="inlineStr">
        <is>
          <t>Confirmed guests</t>
        </is>
      </c>
      <c r="G18" s="3" t="n"/>
      <c r="H18" s="3" t="n"/>
    </row>
    <row r="19">
      <c r="A19" s="14" t="inlineStr">
        <is>
          <t>T-8</t>
        </is>
      </c>
      <c r="B19" s="14" t="n">
        <v>-8</v>
      </c>
      <c r="C19" s="15">
        <f>IF('At a Glance'!$B$13="","",'At a Glance'!$B$13+B19)</f>
        <v/>
      </c>
      <c r="D19" s="14" t="inlineStr">
        <is>
          <t>Dietary needs</t>
        </is>
      </c>
      <c r="E19" s="14" t="inlineStr">
        <is>
          <t>23</t>
        </is>
      </c>
      <c r="F19" s="14" t="inlineStr">
        <is>
          <t>Dietary notes</t>
        </is>
      </c>
      <c r="G19" s="3" t="n"/>
      <c r="H19" s="3" t="n"/>
    </row>
    <row r="20">
      <c r="A20" s="14" t="inlineStr">
        <is>
          <t>T-7</t>
        </is>
      </c>
      <c r="B20" s="14" t="n">
        <v>-7</v>
      </c>
      <c r="C20" s="15">
        <f>IF('At a Glance'!$B$13="","",'At a Glance'!$B$13+B20)</f>
        <v/>
      </c>
      <c r="D20" s="14" t="inlineStr">
        <is>
          <t>Write the Guest Brief; one-week note; thaw sum; Briefing 3</t>
        </is>
      </c>
      <c r="E20" s="14" t="inlineStr">
        <is>
          <t>22, 29</t>
        </is>
      </c>
      <c r="F20" s="14" t="inlineStr">
        <is>
          <t>Thaw starts on</t>
        </is>
      </c>
      <c r="G20" s="3" t="n"/>
      <c r="H20" s="3" t="n"/>
    </row>
    <row r="21">
      <c r="A21" s="14" t="inlineStr">
        <is>
          <t>T-6</t>
        </is>
      </c>
      <c r="B21" s="14" t="n">
        <v>-6</v>
      </c>
      <c r="C21" s="15">
        <f>IF('At a Glance'!$B$13="","",'At a Glance'!$B$13+B21)</f>
        <v/>
      </c>
      <c r="D21" s="14" t="inlineStr">
        <is>
          <t>Borrow chairs, not money</t>
        </is>
      </c>
      <c r="E21" s="14" t="inlineStr">
        <is>
          <t>21</t>
        </is>
      </c>
      <c r="F21" s="14" t="inlineStr">
        <is>
          <t>Items borrowed</t>
        </is>
      </c>
      <c r="G21" s="3" t="n"/>
      <c r="H21" s="3" t="n"/>
    </row>
    <row r="22">
      <c r="A22" s="14" t="inlineStr">
        <is>
          <t>T-5</t>
        </is>
      </c>
      <c r="B22" s="14" t="n">
        <v>-5</v>
      </c>
      <c r="C22" s="15">
        <f>IF('At a Glance'!$B$13="","",'At a Glance'!$B$13+B22)</f>
        <v/>
      </c>
      <c r="D22" s="14" t="inlineStr">
        <is>
          <t>Shopping, part one; log the spend</t>
        </is>
      </c>
      <c r="E22" s="14" t="inlineStr">
        <is>
          <t>13, 28</t>
        </is>
      </c>
      <c r="F22" s="14" t="inlineStr">
        <is>
          <t>Spent so far $</t>
        </is>
      </c>
      <c r="G22" s="3" t="n"/>
      <c r="H22" s="3" t="n"/>
    </row>
    <row r="23">
      <c r="A23" s="14" t="inlineStr">
        <is>
          <t>T-4</t>
        </is>
      </c>
      <c r="B23" s="14" t="n">
        <v>-4</v>
      </c>
      <c r="C23" s="15">
        <f>IF('At a Glance'!$B$13="","",'At a Glance'!$B$13+B23)</f>
        <v/>
      </c>
      <c r="D23" s="14" t="inlineStr">
        <is>
          <t>Clear the route: coats, loo (bathroom), hall</t>
        </is>
      </c>
      <c r="E23" s="14" t="inlineStr">
        <is>
          <t>32</t>
        </is>
      </c>
      <c r="F23" s="14" t="inlineStr">
        <is>
          <t>Coat hooks free</t>
        </is>
      </c>
      <c r="G23" s="3" t="n"/>
      <c r="H23" s="3" t="n"/>
    </row>
    <row r="24">
      <c r="A24" s="14" t="inlineStr">
        <is>
          <t>T-3</t>
        </is>
      </c>
      <c r="B24" s="14" t="n">
        <v>-3</v>
      </c>
      <c r="C24" s="15">
        <f>IF('At a Glance'!$B$13="","",'At a Glance'!$B$13+B24)</f>
        <v/>
      </c>
      <c r="D24" s="14" t="inlineStr">
        <is>
          <t>Make-ahead plan, final; check the thaw</t>
        </is>
      </c>
      <c r="E24" s="14" t="inlineStr">
        <is>
          <t>30, 29</t>
        </is>
      </c>
      <c r="F24" s="14" t="inlineStr">
        <is>
          <t>Dishes made ahead</t>
        </is>
      </c>
      <c r="G24" s="3" t="n"/>
      <c r="H24" s="3" t="n"/>
    </row>
    <row r="25">
      <c r="A25" s="14" t="inlineStr">
        <is>
          <t>T-2</t>
        </is>
      </c>
      <c r="B25" s="14" t="n">
        <v>-2</v>
      </c>
      <c r="C25" s="15">
        <f>IF('At a Glance'!$B$13="","",'At a Glance'!$B$13+B25)</f>
        <v/>
      </c>
      <c r="D25" s="14" t="inlineStr">
        <is>
          <t>Send the Guest Brief; fresh shopping</t>
        </is>
      </c>
      <c r="E25" s="14" t="inlineStr">
        <is>
          <t>22, 13</t>
        </is>
      </c>
      <c r="F25" s="14" t="inlineStr">
        <is>
          <t>Spent so far $</t>
        </is>
      </c>
      <c r="G25" s="3" t="n"/>
      <c r="H25" s="3" t="n"/>
    </row>
    <row r="26">
      <c r="A26" s="14" t="inlineStr">
        <is>
          <t>T-1</t>
        </is>
      </c>
      <c r="B26" s="14" t="n">
        <v>-1</v>
      </c>
      <c r="C26" s="15">
        <f>IF('At a Glance'!$B$13="","",'At a Glance'!$B$13+B26)</f>
        <v/>
      </c>
      <c r="D26" s="14" t="inlineStr">
        <is>
          <t>Set the Night Before; Briefing 4</t>
        </is>
      </c>
      <c r="E26" s="14" t="inlineStr">
        <is>
          <t>33</t>
        </is>
      </c>
      <c r="F26" s="14" t="inlineStr">
        <is>
          <t>Items ticked / 16</t>
        </is>
      </c>
      <c r="G26" s="3" t="n"/>
      <c r="H26" s="3" t="n"/>
    </row>
    <row r="27">
      <c r="A27" s="14" t="inlineStr">
        <is>
          <t>T-0</t>
        </is>
      </c>
      <c r="B27" s="14" t="n">
        <v>0</v>
      </c>
      <c r="C27" s="15">
        <f>IF('At a Glance'!$B$13="","",'At a Glance'!$B$13+B27)</f>
        <v/>
      </c>
      <c r="D27" s="14" t="inlineStr">
        <is>
          <t>Run-of-show; the 10-Minute Sweep; sit down</t>
        </is>
      </c>
      <c r="E27" s="14" t="inlineStr">
        <is>
          <t>34, 35</t>
        </is>
      </c>
      <c r="F27" s="14" t="inlineStr">
        <is>
          <t>Calm score at the door</t>
        </is>
      </c>
      <c r="G27" s="3" t="n"/>
      <c r="H27" s="3" t="n"/>
    </row>
    <row r="28">
      <c r="A28" s="14" t="inlineStr">
        <is>
          <t>T+1</t>
        </is>
      </c>
      <c r="B28" s="14" t="n">
        <v>1</v>
      </c>
      <c r="C28" s="15">
        <f>IF('At a Glance'!$B$13="","",'At a Glance'!$B$13+B28)</f>
        <v/>
      </c>
      <c r="D28" s="14" t="inlineStr">
        <is>
          <t>Clear-down; borrowed things returned</t>
        </is>
      </c>
      <c r="E28" s="14" t="inlineStr">
        <is>
          <t>36, 38</t>
        </is>
      </c>
      <c r="F28" s="14" t="inlineStr">
        <is>
          <t>Borrowed items returned</t>
        </is>
      </c>
      <c r="G28" s="3" t="n"/>
      <c r="H28" s="3" t="n"/>
    </row>
    <row r="29">
      <c r="A29" s="14" t="inlineStr">
        <is>
          <t>T+2</t>
        </is>
      </c>
      <c r="B29" s="14" t="n">
        <v>2</v>
      </c>
      <c r="C29" s="15">
        <f>IF('At a Glance'!$B$13="","",'At a Glance'!$B$13+B29)</f>
        <v/>
      </c>
      <c r="D29" s="14" t="inlineStr">
        <is>
          <t>Thank-you notes; Briefing 5</t>
        </is>
      </c>
      <c r="E29" s="14" t="inlineStr">
        <is>
          <t>37</t>
        </is>
      </c>
      <c r="F29" s="14" t="inlineStr">
        <is>
          <t>Notes sent</t>
        </is>
      </c>
      <c r="G29" s="3" t="n"/>
      <c r="H29" s="3" t="n"/>
    </row>
    <row r="30">
      <c r="A30" s="14" t="inlineStr">
        <is>
          <t>T+7</t>
        </is>
      </c>
      <c r="B30" s="14" t="n">
        <v>7</v>
      </c>
      <c r="C30" s="15">
        <f>IF('At a Glance'!$B$13="","",'At a Glance'!$B$13+B30)</f>
        <v/>
      </c>
      <c r="D30" s="14" t="inlineStr">
        <is>
          <t>The Reckoning</t>
        </is>
      </c>
      <c r="E30" s="14" t="inlineStr">
        <is>
          <t>39</t>
        </is>
      </c>
      <c r="F30" s="14" t="inlineStr">
        <is>
          <t>Actual per plate $</t>
        </is>
      </c>
      <c r="G30" s="3" t="n"/>
      <c r="H30" s="3" t="n"/>
    </row>
  </sheetData>
  <conditionalFormatting sqref="A6:H30">
    <cfRule type="expression" priority="1" dxfId="0">
      <formula>$C6=TODAY()</formula>
    </cfRule>
  </conditionalFormatting>
  <dataValidations count="1">
    <dataValidation sqref="G6:G30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14" customWidth="1" min="3" max="3"/>
    <col width="12" customWidth="1" min="4" max="4"/>
  </cols>
  <sheetData>
    <row r="1">
      <c r="A1" s="1" t="inlineStr">
        <is>
          <t>Where the plate goes</t>
        </is>
      </c>
    </row>
    <row r="2">
      <c r="A2" s="2" t="inlineStr">
        <is>
          <t>Change the percentages to suit your menu; they must add up to 100%.</t>
        </is>
      </c>
    </row>
    <row r="4">
      <c r="A4" s="13" t="inlineStr">
        <is>
          <t>Share</t>
        </is>
      </c>
      <c r="B4" s="13" t="inlineStr">
        <is>
          <t>%</t>
        </is>
      </c>
      <c r="C4" s="13" t="inlineStr">
        <is>
          <t>Amount</t>
        </is>
      </c>
      <c r="D4" s="13" t="inlineStr">
        <is>
          <t>Per plate</t>
        </is>
      </c>
    </row>
    <row r="5">
      <c r="A5" s="14" t="inlineStr">
        <is>
          <t>Showpiece</t>
        </is>
      </c>
      <c r="B5" s="16" t="n">
        <v>0.35</v>
      </c>
      <c r="C5" s="17">
        <f>IF('At a Glance'!$B$10="","",'At a Glance'!$B$10*B5)</f>
        <v/>
      </c>
      <c r="D5" s="17">
        <f>IFERROR(C5/'At a Glance'!$B$9,"")</f>
        <v/>
      </c>
    </row>
    <row r="6">
      <c r="A6" s="14" t="inlineStr">
        <is>
          <t>Sides and bread</t>
        </is>
      </c>
      <c r="B6" s="16" t="n">
        <v>0.25</v>
      </c>
      <c r="C6" s="17">
        <f>IF('At a Glance'!$B$10="","",'At a Glance'!$B$10*B6)</f>
        <v/>
      </c>
      <c r="D6" s="17">
        <f>IFERROR(C6/'At a Glance'!$B$9,"")</f>
        <v/>
      </c>
    </row>
    <row r="7">
      <c r="A7" s="14" t="inlineStr">
        <is>
          <t>Nibbles or starter (appetizers)</t>
        </is>
      </c>
      <c r="B7" s="16" t="n">
        <v>0.1</v>
      </c>
      <c r="C7" s="17">
        <f>IF('At a Glance'!$B$10="","",'At a Glance'!$B$10*B7)</f>
        <v/>
      </c>
      <c r="D7" s="17">
        <f>IFERROR(C7/'At a Glance'!$B$9,"")</f>
        <v/>
      </c>
    </row>
    <row r="8">
      <c r="A8" s="14" t="inlineStr">
        <is>
          <t>Pudding (dessert)</t>
        </is>
      </c>
      <c r="B8" s="16" t="n">
        <v>0.1</v>
      </c>
      <c r="C8" s="17">
        <f>IF('At a Glance'!$B$10="","",'At a Glance'!$B$10*B8)</f>
        <v/>
      </c>
      <c r="D8" s="17">
        <f>IFERROR(C8/'At a Glance'!$B$9,"")</f>
        <v/>
      </c>
    </row>
    <row r="9">
      <c r="A9" s="14" t="inlineStr">
        <is>
          <t>Drinks (incl. non-alcoholic, ice)</t>
        </is>
      </c>
      <c r="B9" s="16" t="n">
        <v>0.15</v>
      </c>
      <c r="C9" s="17">
        <f>IF('At a Glance'!$B$10="","",'At a Glance'!$B$10*B9)</f>
        <v/>
      </c>
      <c r="D9" s="17">
        <f>IFERROR(C9/'At a Glance'!$B$9,"")</f>
        <v/>
      </c>
    </row>
    <row r="10">
      <c r="A10" s="14" t="inlineStr">
        <is>
          <t>The table</t>
        </is>
      </c>
      <c r="B10" s="16" t="n">
        <v>0.05</v>
      </c>
      <c r="C10" s="17">
        <f>IF('At a Glance'!$B$10="","",'At a Glance'!$B$10*B10)</f>
        <v/>
      </c>
      <c r="D10" s="17">
        <f>IFERROR(C10/'At a Glance'!$B$9,"")</f>
        <v/>
      </c>
    </row>
    <row r="11">
      <c r="A11" s="8" t="inlineStr">
        <is>
          <t>Total</t>
        </is>
      </c>
      <c r="B11" s="18">
        <f>SUM(B5:B10)</f>
        <v/>
      </c>
      <c r="C11" s="9">
        <f>IF('At a Glance'!B10="","",SUM(C5:C10))</f>
        <v/>
      </c>
    </row>
    <row r="12">
      <c r="A12">
        <f>IF(ROUND(B11,4)=1,"Adds up to 100%. Good.","Adjust: the shares add up to "&amp;TEXT(B11,"0%"))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8" customWidth="1" min="4" max="4"/>
    <col width="11" customWidth="1" min="5" max="5"/>
    <col width="11" customWidth="1" min="6" max="6"/>
    <col width="3" customWidth="1" min="7" max="7"/>
    <col width="30" customWidth="1" min="8" max="8"/>
    <col width="15" customWidth="1" min="9" max="9"/>
    <col width="12" customWidth="1" min="10" max="10"/>
    <col width="12" customWidth="1" min="11" max="11"/>
  </cols>
  <sheetData>
    <row r="1">
      <c r="A1" s="1" t="inlineStr">
        <is>
          <t>The Spend Log</t>
        </is>
      </c>
    </row>
    <row r="2">
      <c r="A2" s="2" t="inlineStr">
        <is>
          <t>Every receipt, the same evening. A share turns amber when it passes its line.</t>
        </is>
      </c>
    </row>
    <row r="4">
      <c r="A4" s="13" t="inlineStr">
        <is>
          <t>Date</t>
        </is>
      </c>
      <c r="B4" s="13" t="inlineStr">
        <is>
          <t>Where</t>
        </is>
      </c>
      <c r="C4" s="13" t="inlineStr">
        <is>
          <t>What</t>
        </is>
      </c>
      <c r="D4" s="13" t="inlineStr">
        <is>
          <t>Share</t>
        </is>
      </c>
      <c r="E4" s="13" t="inlineStr">
        <is>
          <t>Planned $</t>
        </is>
      </c>
      <c r="F4" s="13" t="inlineStr">
        <is>
          <t>Actual $</t>
        </is>
      </c>
      <c r="H4" s="13" t="inlineStr">
        <is>
          <t>Share</t>
        </is>
      </c>
      <c r="I4" s="13" t="inlineStr">
        <is>
          <t>Line (Per-Plate)</t>
        </is>
      </c>
      <c r="J4" s="13" t="inlineStr">
        <is>
          <t>Spent</t>
        </is>
      </c>
      <c r="K4" s="13" t="inlineStr">
        <is>
          <t>Left</t>
        </is>
      </c>
    </row>
    <row r="5">
      <c r="A5" s="4" t="n"/>
      <c r="B5" s="3" t="n"/>
      <c r="C5" s="3" t="n"/>
      <c r="D5" s="3" t="n"/>
      <c r="E5" s="7" t="n"/>
      <c r="F5" s="7" t="n"/>
      <c r="H5" s="14" t="inlineStr">
        <is>
          <t>Showpiece</t>
        </is>
      </c>
      <c r="I5" s="17">
        <f>'Per-Plate'!C5</f>
        <v/>
      </c>
      <c r="J5" s="17">
        <f>SUMIF($D$5:$D$54,H5,$F$5:$F$54)</f>
        <v/>
      </c>
      <c r="K5" s="17">
        <f>IF(I5="","",I5-J5)</f>
        <v/>
      </c>
    </row>
    <row r="6">
      <c r="A6" s="4" t="n"/>
      <c r="B6" s="3" t="n"/>
      <c r="C6" s="3" t="n"/>
      <c r="D6" s="3" t="n"/>
      <c r="E6" s="7" t="n"/>
      <c r="F6" s="7" t="n"/>
      <c r="H6" s="14" t="inlineStr">
        <is>
          <t>Sides and bread</t>
        </is>
      </c>
      <c r="I6" s="17">
        <f>'Per-Plate'!C6</f>
        <v/>
      </c>
      <c r="J6" s="17">
        <f>SUMIF($D$5:$D$54,H6,$F$5:$F$54)</f>
        <v/>
      </c>
      <c r="K6" s="17">
        <f>IF(I6="","",I6-J6)</f>
        <v/>
      </c>
    </row>
    <row r="7">
      <c r="A7" s="4" t="n"/>
      <c r="B7" s="3" t="n"/>
      <c r="C7" s="3" t="n"/>
      <c r="D7" s="3" t="n"/>
      <c r="E7" s="7" t="n"/>
      <c r="F7" s="7" t="n"/>
      <c r="H7" s="14" t="inlineStr">
        <is>
          <t>Nibbles or starter (appetizers)</t>
        </is>
      </c>
      <c r="I7" s="17">
        <f>'Per-Plate'!C7</f>
        <v/>
      </c>
      <c r="J7" s="17">
        <f>SUMIF($D$5:$D$54,H7,$F$5:$F$54)</f>
        <v/>
      </c>
      <c r="K7" s="17">
        <f>IF(I7="","",I7-J7)</f>
        <v/>
      </c>
    </row>
    <row r="8">
      <c r="A8" s="4" t="n"/>
      <c r="B8" s="3" t="n"/>
      <c r="C8" s="3" t="n"/>
      <c r="D8" s="3" t="n"/>
      <c r="E8" s="7" t="n"/>
      <c r="F8" s="7" t="n"/>
      <c r="H8" s="14" t="inlineStr">
        <is>
          <t>Pudding (dessert)</t>
        </is>
      </c>
      <c r="I8" s="17">
        <f>'Per-Plate'!C8</f>
        <v/>
      </c>
      <c r="J8" s="17">
        <f>SUMIF($D$5:$D$54,H8,$F$5:$F$54)</f>
        <v/>
      </c>
      <c r="K8" s="17">
        <f>IF(I8="","",I8-J8)</f>
        <v/>
      </c>
    </row>
    <row r="9">
      <c r="A9" s="4" t="n"/>
      <c r="B9" s="3" t="n"/>
      <c r="C9" s="3" t="n"/>
      <c r="D9" s="3" t="n"/>
      <c r="E9" s="7" t="n"/>
      <c r="F9" s="7" t="n"/>
      <c r="H9" s="14" t="inlineStr">
        <is>
          <t>Drinks (incl. non-alcoholic, ice)</t>
        </is>
      </c>
      <c r="I9" s="17">
        <f>'Per-Plate'!C9</f>
        <v/>
      </c>
      <c r="J9" s="17">
        <f>SUMIF($D$5:$D$54,H9,$F$5:$F$54)</f>
        <v/>
      </c>
      <c r="K9" s="17">
        <f>IF(I9="","",I9-J9)</f>
        <v/>
      </c>
    </row>
    <row r="10">
      <c r="A10" s="4" t="n"/>
      <c r="B10" s="3" t="n"/>
      <c r="C10" s="3" t="n"/>
      <c r="D10" s="3" t="n"/>
      <c r="E10" s="7" t="n"/>
      <c r="F10" s="7" t="n"/>
      <c r="H10" s="14" t="inlineStr">
        <is>
          <t>The table</t>
        </is>
      </c>
      <c r="I10" s="17">
        <f>'Per-Plate'!C10</f>
        <v/>
      </c>
      <c r="J10" s="17">
        <f>SUMIF($D$5:$D$54,H10,$F$5:$F$54)</f>
        <v/>
      </c>
      <c r="K10" s="17">
        <f>IF(I10="","",I10-J10)</f>
        <v/>
      </c>
    </row>
    <row r="11">
      <c r="A11" s="4" t="n"/>
      <c r="B11" s="3" t="n"/>
      <c r="C11" s="3" t="n"/>
      <c r="D11" s="3" t="n"/>
      <c r="E11" s="7" t="n"/>
      <c r="F11" s="7" t="n"/>
    </row>
    <row r="12">
      <c r="A12" s="4" t="n"/>
      <c r="B12" s="3" t="n"/>
      <c r="C12" s="3" t="n"/>
      <c r="D12" s="3" t="n"/>
      <c r="E12" s="7" t="n"/>
      <c r="F12" s="7" t="n"/>
      <c r="H12" t="inlineStr">
        <is>
          <t>Total spent</t>
        </is>
      </c>
      <c r="J12" s="9">
        <f>SUM(F5:F54)</f>
        <v/>
      </c>
    </row>
    <row r="13">
      <c r="A13" s="4" t="n"/>
      <c r="B13" s="3" t="n"/>
      <c r="C13" s="3" t="n"/>
      <c r="D13" s="3" t="n"/>
      <c r="E13" s="7" t="n"/>
      <c r="F13" s="7" t="n"/>
      <c r="H13" t="inlineStr">
        <is>
          <t>Per plate so far</t>
        </is>
      </c>
      <c r="J13" s="9">
        <f>IFERROR(J12/'At a Glance'!B9,"")</f>
        <v/>
      </c>
    </row>
    <row r="14">
      <c r="A14" s="4" t="n"/>
      <c r="B14" s="3" t="n"/>
      <c r="C14" s="3" t="n"/>
      <c r="D14" s="3" t="n"/>
      <c r="E14" s="7" t="n"/>
      <c r="F14" s="7" t="n"/>
      <c r="H14" t="inlineStr">
        <is>
          <t>Within the number?</t>
        </is>
      </c>
      <c r="J14" s="12">
        <f>IF('At a Glance'!B10="","",IF(J12&lt;='At a Glance'!B10,"Yes","No: over by $"&amp;TEXT(J12-'At a Glance'!B10,"0.00")))</f>
        <v/>
      </c>
    </row>
    <row r="15">
      <c r="A15" s="4" t="n"/>
      <c r="B15" s="3" t="n"/>
      <c r="C15" s="3" t="n"/>
      <c r="D15" s="3" t="n"/>
      <c r="E15" s="7" t="n"/>
      <c r="F15" s="7" t="n"/>
    </row>
    <row r="16">
      <c r="A16" s="4" t="n"/>
      <c r="B16" s="3" t="n"/>
      <c r="C16" s="3" t="n"/>
      <c r="D16" s="3" t="n"/>
      <c r="E16" s="7" t="n"/>
      <c r="F16" s="7" t="n"/>
    </row>
    <row r="17">
      <c r="A17" s="4" t="n"/>
      <c r="B17" s="3" t="n"/>
      <c r="C17" s="3" t="n"/>
      <c r="D17" s="3" t="n"/>
      <c r="E17" s="7" t="n"/>
      <c r="F17" s="7" t="n"/>
    </row>
    <row r="18">
      <c r="A18" s="4" t="n"/>
      <c r="B18" s="3" t="n"/>
      <c r="C18" s="3" t="n"/>
      <c r="D18" s="3" t="n"/>
      <c r="E18" s="7" t="n"/>
      <c r="F18" s="7" t="n"/>
    </row>
    <row r="19">
      <c r="A19" s="4" t="n"/>
      <c r="B19" s="3" t="n"/>
      <c r="C19" s="3" t="n"/>
      <c r="D19" s="3" t="n"/>
      <c r="E19" s="7" t="n"/>
      <c r="F19" s="7" t="n"/>
    </row>
    <row r="20">
      <c r="A20" s="4" t="n"/>
      <c r="B20" s="3" t="n"/>
      <c r="C20" s="3" t="n"/>
      <c r="D20" s="3" t="n"/>
      <c r="E20" s="7" t="n"/>
      <c r="F20" s="7" t="n"/>
    </row>
    <row r="21">
      <c r="A21" s="4" t="n"/>
      <c r="B21" s="3" t="n"/>
      <c r="C21" s="3" t="n"/>
      <c r="D21" s="3" t="n"/>
      <c r="E21" s="7" t="n"/>
      <c r="F21" s="7" t="n"/>
    </row>
    <row r="22">
      <c r="A22" s="4" t="n"/>
      <c r="B22" s="3" t="n"/>
      <c r="C22" s="3" t="n"/>
      <c r="D22" s="3" t="n"/>
      <c r="E22" s="7" t="n"/>
      <c r="F22" s="7" t="n"/>
    </row>
    <row r="23">
      <c r="A23" s="4" t="n"/>
      <c r="B23" s="3" t="n"/>
      <c r="C23" s="3" t="n"/>
      <c r="D23" s="3" t="n"/>
      <c r="E23" s="7" t="n"/>
      <c r="F23" s="7" t="n"/>
    </row>
    <row r="24">
      <c r="A24" s="4" t="n"/>
      <c r="B24" s="3" t="n"/>
      <c r="C24" s="3" t="n"/>
      <c r="D24" s="3" t="n"/>
      <c r="E24" s="7" t="n"/>
      <c r="F24" s="7" t="n"/>
    </row>
    <row r="25">
      <c r="A25" s="4" t="n"/>
      <c r="B25" s="3" t="n"/>
      <c r="C25" s="3" t="n"/>
      <c r="D25" s="3" t="n"/>
      <c r="E25" s="7" t="n"/>
      <c r="F25" s="7" t="n"/>
    </row>
    <row r="26">
      <c r="A26" s="4" t="n"/>
      <c r="B26" s="3" t="n"/>
      <c r="C26" s="3" t="n"/>
      <c r="D26" s="3" t="n"/>
      <c r="E26" s="7" t="n"/>
      <c r="F26" s="7" t="n"/>
    </row>
    <row r="27">
      <c r="A27" s="4" t="n"/>
      <c r="B27" s="3" t="n"/>
      <c r="C27" s="3" t="n"/>
      <c r="D27" s="3" t="n"/>
      <c r="E27" s="7" t="n"/>
      <c r="F27" s="7" t="n"/>
    </row>
    <row r="28">
      <c r="A28" s="4" t="n"/>
      <c r="B28" s="3" t="n"/>
      <c r="C28" s="3" t="n"/>
      <c r="D28" s="3" t="n"/>
      <c r="E28" s="7" t="n"/>
      <c r="F28" s="7" t="n"/>
    </row>
    <row r="29">
      <c r="A29" s="4" t="n"/>
      <c r="B29" s="3" t="n"/>
      <c r="C29" s="3" t="n"/>
      <c r="D29" s="3" t="n"/>
      <c r="E29" s="7" t="n"/>
      <c r="F29" s="7" t="n"/>
    </row>
    <row r="30">
      <c r="A30" s="4" t="n"/>
      <c r="B30" s="3" t="n"/>
      <c r="C30" s="3" t="n"/>
      <c r="D30" s="3" t="n"/>
      <c r="E30" s="7" t="n"/>
      <c r="F30" s="7" t="n"/>
    </row>
    <row r="31">
      <c r="A31" s="4" t="n"/>
      <c r="B31" s="3" t="n"/>
      <c r="C31" s="3" t="n"/>
      <c r="D31" s="3" t="n"/>
      <c r="E31" s="7" t="n"/>
      <c r="F31" s="7" t="n"/>
    </row>
    <row r="32">
      <c r="A32" s="4" t="n"/>
      <c r="B32" s="3" t="n"/>
      <c r="C32" s="3" t="n"/>
      <c r="D32" s="3" t="n"/>
      <c r="E32" s="7" t="n"/>
      <c r="F32" s="7" t="n"/>
    </row>
    <row r="33">
      <c r="A33" s="4" t="n"/>
      <c r="B33" s="3" t="n"/>
      <c r="C33" s="3" t="n"/>
      <c r="D33" s="3" t="n"/>
      <c r="E33" s="7" t="n"/>
      <c r="F33" s="7" t="n"/>
    </row>
    <row r="34">
      <c r="A34" s="4" t="n"/>
      <c r="B34" s="3" t="n"/>
      <c r="C34" s="3" t="n"/>
      <c r="D34" s="3" t="n"/>
      <c r="E34" s="7" t="n"/>
      <c r="F34" s="7" t="n"/>
    </row>
    <row r="35">
      <c r="A35" s="4" t="n"/>
      <c r="B35" s="3" t="n"/>
      <c r="C35" s="3" t="n"/>
      <c r="D35" s="3" t="n"/>
      <c r="E35" s="7" t="n"/>
      <c r="F35" s="7" t="n"/>
    </row>
    <row r="36">
      <c r="A36" s="4" t="n"/>
      <c r="B36" s="3" t="n"/>
      <c r="C36" s="3" t="n"/>
      <c r="D36" s="3" t="n"/>
      <c r="E36" s="7" t="n"/>
      <c r="F36" s="7" t="n"/>
    </row>
    <row r="37">
      <c r="A37" s="4" t="n"/>
      <c r="B37" s="3" t="n"/>
      <c r="C37" s="3" t="n"/>
      <c r="D37" s="3" t="n"/>
      <c r="E37" s="7" t="n"/>
      <c r="F37" s="7" t="n"/>
    </row>
    <row r="38">
      <c r="A38" s="4" t="n"/>
      <c r="B38" s="3" t="n"/>
      <c r="C38" s="3" t="n"/>
      <c r="D38" s="3" t="n"/>
      <c r="E38" s="7" t="n"/>
      <c r="F38" s="7" t="n"/>
    </row>
    <row r="39">
      <c r="A39" s="4" t="n"/>
      <c r="B39" s="3" t="n"/>
      <c r="C39" s="3" t="n"/>
      <c r="D39" s="3" t="n"/>
      <c r="E39" s="7" t="n"/>
      <c r="F39" s="7" t="n"/>
    </row>
    <row r="40">
      <c r="A40" s="4" t="n"/>
      <c r="B40" s="3" t="n"/>
      <c r="C40" s="3" t="n"/>
      <c r="D40" s="3" t="n"/>
      <c r="E40" s="7" t="n"/>
      <c r="F40" s="7" t="n"/>
    </row>
    <row r="41">
      <c r="A41" s="4" t="n"/>
      <c r="B41" s="3" t="n"/>
      <c r="C41" s="3" t="n"/>
      <c r="D41" s="3" t="n"/>
      <c r="E41" s="7" t="n"/>
      <c r="F41" s="7" t="n"/>
    </row>
    <row r="42">
      <c r="A42" s="4" t="n"/>
      <c r="B42" s="3" t="n"/>
      <c r="C42" s="3" t="n"/>
      <c r="D42" s="3" t="n"/>
      <c r="E42" s="7" t="n"/>
      <c r="F42" s="7" t="n"/>
    </row>
    <row r="43">
      <c r="A43" s="4" t="n"/>
      <c r="B43" s="3" t="n"/>
      <c r="C43" s="3" t="n"/>
      <c r="D43" s="3" t="n"/>
      <c r="E43" s="7" t="n"/>
      <c r="F43" s="7" t="n"/>
    </row>
    <row r="44">
      <c r="A44" s="4" t="n"/>
      <c r="B44" s="3" t="n"/>
      <c r="C44" s="3" t="n"/>
      <c r="D44" s="3" t="n"/>
      <c r="E44" s="7" t="n"/>
      <c r="F44" s="7" t="n"/>
    </row>
    <row r="45">
      <c r="A45" s="4" t="n"/>
      <c r="B45" s="3" t="n"/>
      <c r="C45" s="3" t="n"/>
      <c r="D45" s="3" t="n"/>
      <c r="E45" s="7" t="n"/>
      <c r="F45" s="7" t="n"/>
    </row>
    <row r="46">
      <c r="A46" s="4" t="n"/>
      <c r="B46" s="3" t="n"/>
      <c r="C46" s="3" t="n"/>
      <c r="D46" s="3" t="n"/>
      <c r="E46" s="7" t="n"/>
      <c r="F46" s="7" t="n"/>
    </row>
    <row r="47">
      <c r="A47" s="4" t="n"/>
      <c r="B47" s="3" t="n"/>
      <c r="C47" s="3" t="n"/>
      <c r="D47" s="3" t="n"/>
      <c r="E47" s="7" t="n"/>
      <c r="F47" s="7" t="n"/>
    </row>
    <row r="48">
      <c r="A48" s="4" t="n"/>
      <c r="B48" s="3" t="n"/>
      <c r="C48" s="3" t="n"/>
      <c r="D48" s="3" t="n"/>
      <c r="E48" s="7" t="n"/>
      <c r="F48" s="7" t="n"/>
    </row>
    <row r="49">
      <c r="A49" s="4" t="n"/>
      <c r="B49" s="3" t="n"/>
      <c r="C49" s="3" t="n"/>
      <c r="D49" s="3" t="n"/>
      <c r="E49" s="7" t="n"/>
      <c r="F49" s="7" t="n"/>
    </row>
    <row r="50">
      <c r="A50" s="4" t="n"/>
      <c r="B50" s="3" t="n"/>
      <c r="C50" s="3" t="n"/>
      <c r="D50" s="3" t="n"/>
      <c r="E50" s="7" t="n"/>
      <c r="F50" s="7" t="n"/>
    </row>
    <row r="51">
      <c r="A51" s="4" t="n"/>
      <c r="B51" s="3" t="n"/>
      <c r="C51" s="3" t="n"/>
      <c r="D51" s="3" t="n"/>
      <c r="E51" s="7" t="n"/>
      <c r="F51" s="7" t="n"/>
    </row>
    <row r="52">
      <c r="A52" s="4" t="n"/>
      <c r="B52" s="3" t="n"/>
      <c r="C52" s="3" t="n"/>
      <c r="D52" s="3" t="n"/>
      <c r="E52" s="7" t="n"/>
      <c r="F52" s="7" t="n"/>
    </row>
    <row r="53">
      <c r="A53" s="4" t="n"/>
      <c r="B53" s="3" t="n"/>
      <c r="C53" s="3" t="n"/>
      <c r="D53" s="3" t="n"/>
      <c r="E53" s="7" t="n"/>
      <c r="F53" s="7" t="n"/>
    </row>
    <row r="54">
      <c r="A54" s="4" t="n"/>
      <c r="B54" s="3" t="n"/>
      <c r="C54" s="3" t="n"/>
      <c r="D54" s="3" t="n"/>
      <c r="E54" s="7" t="n"/>
      <c r="F54" s="7" t="n"/>
    </row>
  </sheetData>
  <conditionalFormatting sqref="H5:K10">
    <cfRule type="expression" priority="1" dxfId="0">
      <formula>AND(ISNUMBER($I5),$J5&gt;$I5)</formula>
    </cfRule>
  </conditionalFormatting>
  <dataValidations count="1">
    <dataValidation sqref="D5:D54" showDropDown="0" showInputMessage="0" showErrorMessage="0" allowBlank="1" type="list">
      <formula1>"Showpiece,Sides and bread,Nibbles or starter (appetizers),Pudding (dessert),Drinks (incl. non-alcoholic, ice),The table"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8" customWidth="1" min="3" max="3"/>
    <col width="22" customWidth="1" min="4" max="4"/>
    <col width="10" customWidth="1" min="5" max="5"/>
    <col width="11" customWidth="1" min="6" max="6"/>
    <col width="11" customWidth="1" min="7" max="7"/>
    <col width="10" customWidth="1" min="8" max="8"/>
    <col width="24" customWidth="1" min="9" max="9"/>
  </cols>
  <sheetData>
    <row r="1">
      <c r="A1" s="1" t="inlineStr">
        <is>
          <t>Assign dishes, not dollars</t>
        </is>
      </c>
    </row>
    <row r="2">
      <c r="A2" s="2" t="inlineStr">
        <is>
          <t>If a guest's dish needs your oven, give the times; clashes with the Oven tab are flagged.</t>
        </is>
      </c>
    </row>
    <row r="4">
      <c r="A4" s="13" t="inlineStr">
        <is>
          <t>Guest</t>
        </is>
      </c>
      <c r="B4" s="13" t="inlineStr">
        <is>
          <t>Their one job</t>
        </is>
      </c>
      <c r="C4" s="13" t="inlineStr">
        <is>
          <t>Serves</t>
        </is>
      </c>
      <c r="D4" s="13" t="inlineStr">
        <is>
          <t>Arrives in (their dish / yours)</t>
        </is>
      </c>
      <c r="E4" s="13" t="inlineStr">
        <is>
          <t>Needs</t>
        </is>
      </c>
      <c r="F4" s="13" t="inlineStr">
        <is>
          <t>Oven from</t>
        </is>
      </c>
      <c r="G4" s="13" t="inlineStr">
        <is>
          <t>Oven to</t>
        </is>
      </c>
      <c r="H4" s="13" t="inlineStr">
        <is>
          <t>Confirmed</t>
        </is>
      </c>
      <c r="I4" s="13" t="inlineStr">
        <is>
          <t>Clash?</t>
        </is>
      </c>
    </row>
    <row r="5">
      <c r="A5" s="3" t="n"/>
      <c r="B5" s="3" t="n"/>
      <c r="C5" s="3" t="n"/>
      <c r="D5" s="3" t="n"/>
      <c r="E5" s="3" t="n"/>
      <c r="F5" s="5" t="n"/>
      <c r="G5" s="5" t="n"/>
      <c r="H5" s="3" t="n"/>
      <c r="I5" s="19">
        <f>IF(AND(E5="Oven",F5&lt;&gt;"",G5&lt;&gt;""),IF(SUMPRODUCT((Oven!$B$5:$B$34="Oven")*(Oven!$D$5:$D$34&lt;G5)*(Oven!$E$5:$E$34&gt;F5))&gt;0,"Clash with the Oven tab",""),"")</f>
        <v/>
      </c>
    </row>
    <row r="6">
      <c r="A6" s="3" t="n"/>
      <c r="B6" s="3" t="n"/>
      <c r="C6" s="3" t="n"/>
      <c r="D6" s="3" t="n"/>
      <c r="E6" s="3" t="n"/>
      <c r="F6" s="5" t="n"/>
      <c r="G6" s="5" t="n"/>
      <c r="H6" s="3" t="n"/>
      <c r="I6" s="19">
        <f>IF(AND(E6="Oven",F6&lt;&gt;"",G6&lt;&gt;""),IF(SUMPRODUCT((Oven!$B$5:$B$34="Oven")*(Oven!$D$5:$D$34&lt;G6)*(Oven!$E$5:$E$34&gt;F6))&gt;0,"Clash with the Oven tab",""),"")</f>
        <v/>
      </c>
    </row>
    <row r="7">
      <c r="A7" s="3" t="n"/>
      <c r="B7" s="3" t="n"/>
      <c r="C7" s="3" t="n"/>
      <c r="D7" s="3" t="n"/>
      <c r="E7" s="3" t="n"/>
      <c r="F7" s="5" t="n"/>
      <c r="G7" s="5" t="n"/>
      <c r="H7" s="3" t="n"/>
      <c r="I7" s="19">
        <f>IF(AND(E7="Oven",F7&lt;&gt;"",G7&lt;&gt;""),IF(SUMPRODUCT((Oven!$B$5:$B$34="Oven")*(Oven!$D$5:$D$34&lt;G7)*(Oven!$E$5:$E$34&gt;F7))&gt;0,"Clash with the Oven tab",""),"")</f>
        <v/>
      </c>
    </row>
    <row r="8">
      <c r="A8" s="3" t="n"/>
      <c r="B8" s="3" t="n"/>
      <c r="C8" s="3" t="n"/>
      <c r="D8" s="3" t="n"/>
      <c r="E8" s="3" t="n"/>
      <c r="F8" s="5" t="n"/>
      <c r="G8" s="5" t="n"/>
      <c r="H8" s="3" t="n"/>
      <c r="I8" s="19">
        <f>IF(AND(E8="Oven",F8&lt;&gt;"",G8&lt;&gt;""),IF(SUMPRODUCT((Oven!$B$5:$B$34="Oven")*(Oven!$D$5:$D$34&lt;G8)*(Oven!$E$5:$E$34&gt;F8))&gt;0,"Clash with the Oven tab",""),"")</f>
        <v/>
      </c>
    </row>
    <row r="9">
      <c r="A9" s="3" t="n"/>
      <c r="B9" s="3" t="n"/>
      <c r="C9" s="3" t="n"/>
      <c r="D9" s="3" t="n"/>
      <c r="E9" s="3" t="n"/>
      <c r="F9" s="5" t="n"/>
      <c r="G9" s="5" t="n"/>
      <c r="H9" s="3" t="n"/>
      <c r="I9" s="19">
        <f>IF(AND(E9="Oven",F9&lt;&gt;"",G9&lt;&gt;""),IF(SUMPRODUCT((Oven!$B$5:$B$34="Oven")*(Oven!$D$5:$D$34&lt;G9)*(Oven!$E$5:$E$34&gt;F9))&gt;0,"Clash with the Oven tab",""),"")</f>
        <v/>
      </c>
    </row>
    <row r="10">
      <c r="A10" s="3" t="n"/>
      <c r="B10" s="3" t="n"/>
      <c r="C10" s="3" t="n"/>
      <c r="D10" s="3" t="n"/>
      <c r="E10" s="3" t="n"/>
      <c r="F10" s="5" t="n"/>
      <c r="G10" s="5" t="n"/>
      <c r="H10" s="3" t="n"/>
      <c r="I10" s="19">
        <f>IF(AND(E10="Oven",F10&lt;&gt;"",G10&lt;&gt;""),IF(SUMPRODUCT((Oven!$B$5:$B$34="Oven")*(Oven!$D$5:$D$34&lt;G10)*(Oven!$E$5:$E$34&gt;F10))&gt;0,"Clash with the Oven tab",""),"")</f>
        <v/>
      </c>
    </row>
    <row r="11">
      <c r="A11" s="3" t="n"/>
      <c r="B11" s="3" t="n"/>
      <c r="C11" s="3" t="n"/>
      <c r="D11" s="3" t="n"/>
      <c r="E11" s="3" t="n"/>
      <c r="F11" s="5" t="n"/>
      <c r="G11" s="5" t="n"/>
      <c r="H11" s="3" t="n"/>
      <c r="I11" s="19">
        <f>IF(AND(E11="Oven",F11&lt;&gt;"",G11&lt;&gt;""),IF(SUMPRODUCT((Oven!$B$5:$B$34="Oven")*(Oven!$D$5:$D$34&lt;G11)*(Oven!$E$5:$E$34&gt;F11))&gt;0,"Clash with the Oven tab",""),"")</f>
        <v/>
      </c>
    </row>
    <row r="12">
      <c r="A12" s="3" t="n"/>
      <c r="B12" s="3" t="n"/>
      <c r="C12" s="3" t="n"/>
      <c r="D12" s="3" t="n"/>
      <c r="E12" s="3" t="n"/>
      <c r="F12" s="5" t="n"/>
      <c r="G12" s="5" t="n"/>
      <c r="H12" s="3" t="n"/>
      <c r="I12" s="19">
        <f>IF(AND(E12="Oven",F12&lt;&gt;"",G12&lt;&gt;""),IF(SUMPRODUCT((Oven!$B$5:$B$34="Oven")*(Oven!$D$5:$D$34&lt;G12)*(Oven!$E$5:$E$34&gt;F12))&gt;0,"Clash with the Oven tab",""),"")</f>
        <v/>
      </c>
    </row>
    <row r="13">
      <c r="A13" s="3" t="n"/>
      <c r="B13" s="3" t="n"/>
      <c r="C13" s="3" t="n"/>
      <c r="D13" s="3" t="n"/>
      <c r="E13" s="3" t="n"/>
      <c r="F13" s="5" t="n"/>
      <c r="G13" s="5" t="n"/>
      <c r="H13" s="3" t="n"/>
      <c r="I13" s="19">
        <f>IF(AND(E13="Oven",F13&lt;&gt;"",G13&lt;&gt;""),IF(SUMPRODUCT((Oven!$B$5:$B$34="Oven")*(Oven!$D$5:$D$34&lt;G13)*(Oven!$E$5:$E$34&gt;F13))&gt;0,"Clash with the Oven tab",""),"")</f>
        <v/>
      </c>
    </row>
    <row r="14">
      <c r="A14" s="3" t="n"/>
      <c r="B14" s="3" t="n"/>
      <c r="C14" s="3" t="n"/>
      <c r="D14" s="3" t="n"/>
      <c r="E14" s="3" t="n"/>
      <c r="F14" s="5" t="n"/>
      <c r="G14" s="5" t="n"/>
      <c r="H14" s="3" t="n"/>
      <c r="I14" s="19">
        <f>IF(AND(E14="Oven",F14&lt;&gt;"",G14&lt;&gt;""),IF(SUMPRODUCT((Oven!$B$5:$B$34="Oven")*(Oven!$D$5:$D$34&lt;G14)*(Oven!$E$5:$E$34&gt;F14))&gt;0,"Clash with the Oven tab",""),"")</f>
        <v/>
      </c>
    </row>
    <row r="15">
      <c r="A15" s="3" t="n"/>
      <c r="B15" s="3" t="n"/>
      <c r="C15" s="3" t="n"/>
      <c r="D15" s="3" t="n"/>
      <c r="E15" s="3" t="n"/>
      <c r="F15" s="5" t="n"/>
      <c r="G15" s="5" t="n"/>
      <c r="H15" s="3" t="n"/>
      <c r="I15" s="19">
        <f>IF(AND(E15="Oven",F15&lt;&gt;"",G15&lt;&gt;""),IF(SUMPRODUCT((Oven!$B$5:$B$34="Oven")*(Oven!$D$5:$D$34&lt;G15)*(Oven!$E$5:$E$34&gt;F15))&gt;0,"Clash with the Oven tab",""),"")</f>
        <v/>
      </c>
    </row>
    <row r="16">
      <c r="A16" s="3" t="n"/>
      <c r="B16" s="3" t="n"/>
      <c r="C16" s="3" t="n"/>
      <c r="D16" s="3" t="n"/>
      <c r="E16" s="3" t="n"/>
      <c r="F16" s="5" t="n"/>
      <c r="G16" s="5" t="n"/>
      <c r="H16" s="3" t="n"/>
      <c r="I16" s="19">
        <f>IF(AND(E16="Oven",F16&lt;&gt;"",G16&lt;&gt;""),IF(SUMPRODUCT((Oven!$B$5:$B$34="Oven")*(Oven!$D$5:$D$34&lt;G16)*(Oven!$E$5:$E$34&gt;F16))&gt;0,"Clash with the Oven tab",""),"")</f>
        <v/>
      </c>
    </row>
    <row r="17">
      <c r="A17" s="3" t="n"/>
      <c r="B17" s="3" t="n"/>
      <c r="C17" s="3" t="n"/>
      <c r="D17" s="3" t="n"/>
      <c r="E17" s="3" t="n"/>
      <c r="F17" s="5" t="n"/>
      <c r="G17" s="5" t="n"/>
      <c r="H17" s="3" t="n"/>
      <c r="I17" s="19">
        <f>IF(AND(E17="Oven",F17&lt;&gt;"",G17&lt;&gt;""),IF(SUMPRODUCT((Oven!$B$5:$B$34="Oven")*(Oven!$D$5:$D$34&lt;G17)*(Oven!$E$5:$E$34&gt;F17))&gt;0,"Clash with the Oven tab",""),"")</f>
        <v/>
      </c>
    </row>
    <row r="18">
      <c r="A18" s="3" t="n"/>
      <c r="B18" s="3" t="n"/>
      <c r="C18" s="3" t="n"/>
      <c r="D18" s="3" t="n"/>
      <c r="E18" s="3" t="n"/>
      <c r="F18" s="5" t="n"/>
      <c r="G18" s="5" t="n"/>
      <c r="H18" s="3" t="n"/>
      <c r="I18" s="19">
        <f>IF(AND(E18="Oven",F18&lt;&gt;"",G18&lt;&gt;""),IF(SUMPRODUCT((Oven!$B$5:$B$34="Oven")*(Oven!$D$5:$D$34&lt;G18)*(Oven!$E$5:$E$34&gt;F18))&gt;0,"Clash with the Oven tab",""),"")</f>
        <v/>
      </c>
    </row>
    <row r="19">
      <c r="A19" s="3" t="n"/>
      <c r="B19" s="3" t="n"/>
      <c r="C19" s="3" t="n"/>
      <c r="D19" s="3" t="n"/>
      <c r="E19" s="3" t="n"/>
      <c r="F19" s="5" t="n"/>
      <c r="G19" s="5" t="n"/>
      <c r="H19" s="3" t="n"/>
      <c r="I19" s="19">
        <f>IF(AND(E19="Oven",F19&lt;&gt;"",G19&lt;&gt;""),IF(SUMPRODUCT((Oven!$B$5:$B$34="Oven")*(Oven!$D$5:$D$34&lt;G19)*(Oven!$E$5:$E$34&gt;F19))&gt;0,"Clash with the Oven tab",""),"")</f>
        <v/>
      </c>
    </row>
    <row r="20">
      <c r="A20" s="3" t="n"/>
      <c r="B20" s="3" t="n"/>
      <c r="C20" s="3" t="n"/>
      <c r="D20" s="3" t="n"/>
      <c r="E20" s="3" t="n"/>
      <c r="F20" s="5" t="n"/>
      <c r="G20" s="5" t="n"/>
      <c r="H20" s="3" t="n"/>
      <c r="I20" s="19">
        <f>IF(AND(E20="Oven",F20&lt;&gt;"",G20&lt;&gt;""),IF(SUMPRODUCT((Oven!$B$5:$B$34="Oven")*(Oven!$D$5:$D$34&lt;G20)*(Oven!$E$5:$E$34&gt;F20))&gt;0,"Clash with the Oven tab",""),"")</f>
        <v/>
      </c>
    </row>
    <row r="21">
      <c r="A21" s="3" t="n"/>
      <c r="B21" s="3" t="n"/>
      <c r="C21" s="3" t="n"/>
      <c r="D21" s="3" t="n"/>
      <c r="E21" s="3" t="n"/>
      <c r="F21" s="5" t="n"/>
      <c r="G21" s="5" t="n"/>
      <c r="H21" s="3" t="n"/>
      <c r="I21" s="19">
        <f>IF(AND(E21="Oven",F21&lt;&gt;"",G21&lt;&gt;""),IF(SUMPRODUCT((Oven!$B$5:$B$34="Oven")*(Oven!$D$5:$D$34&lt;G21)*(Oven!$E$5:$E$34&gt;F21))&gt;0,"Clash with the Oven tab",""),"")</f>
        <v/>
      </c>
    </row>
    <row r="22">
      <c r="A22" s="3" t="n"/>
      <c r="B22" s="3" t="n"/>
      <c r="C22" s="3" t="n"/>
      <c r="D22" s="3" t="n"/>
      <c r="E22" s="3" t="n"/>
      <c r="F22" s="5" t="n"/>
      <c r="G22" s="5" t="n"/>
      <c r="H22" s="3" t="n"/>
      <c r="I22" s="19">
        <f>IF(AND(E22="Oven",F22&lt;&gt;"",G22&lt;&gt;""),IF(SUMPRODUCT((Oven!$B$5:$B$34="Oven")*(Oven!$D$5:$D$34&lt;G22)*(Oven!$E$5:$E$34&gt;F22))&gt;0,"Clash with the Oven tab",""),"")</f>
        <v/>
      </c>
    </row>
    <row r="23">
      <c r="A23" s="3" t="n"/>
      <c r="B23" s="3" t="n"/>
      <c r="C23" s="3" t="n"/>
      <c r="D23" s="3" t="n"/>
      <c r="E23" s="3" t="n"/>
      <c r="F23" s="5" t="n"/>
      <c r="G23" s="5" t="n"/>
      <c r="H23" s="3" t="n"/>
      <c r="I23" s="19">
        <f>IF(AND(E23="Oven",F23&lt;&gt;"",G23&lt;&gt;""),IF(SUMPRODUCT((Oven!$B$5:$B$34="Oven")*(Oven!$D$5:$D$34&lt;G23)*(Oven!$E$5:$E$34&gt;F23))&gt;0,"Clash with the Oven tab",""),"")</f>
        <v/>
      </c>
    </row>
    <row r="24">
      <c r="A24" s="3" t="n"/>
      <c r="B24" s="3" t="n"/>
      <c r="C24" s="3" t="n"/>
      <c r="D24" s="3" t="n"/>
      <c r="E24" s="3" t="n"/>
      <c r="F24" s="5" t="n"/>
      <c r="G24" s="5" t="n"/>
      <c r="H24" s="3" t="n"/>
      <c r="I24" s="19">
        <f>IF(AND(E24="Oven",F24&lt;&gt;"",G24&lt;&gt;""),IF(SUMPRODUCT((Oven!$B$5:$B$34="Oven")*(Oven!$D$5:$D$34&lt;G24)*(Oven!$E$5:$E$34&gt;F24))&gt;0,"Clash with the Oven tab",""),"")</f>
        <v/>
      </c>
    </row>
  </sheetData>
  <conditionalFormatting sqref="I5:I24">
    <cfRule type="expression" priority="1" dxfId="0">
      <formula>$I5&lt;&gt;""</formula>
    </cfRule>
  </conditionalFormatting>
  <dataValidations count="2">
    <dataValidation sqref="E5:E24" showDropDown="0" showInputMessage="0" showErrorMessage="0" allowBlank="1" type="list">
      <formula1>"Oven,Fridge,Neither"</formula1>
    </dataValidation>
    <dataValidation sqref="H5:H24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4" customWidth="1" min="2" max="2"/>
  </cols>
  <sheetData>
    <row r="1">
      <c r="A1" s="1" t="inlineStr">
        <is>
          <t>Drinks maths</t>
        </is>
      </c>
    </row>
    <row r="2">
      <c r="A2" s="2" t="inlineStr">
        <is>
          <t>A planning sum for buying, not a target for drinking. 750 ml bottle ≈ five 150 ml (5 oz) glasses.</t>
        </is>
      </c>
    </row>
    <row r="4">
      <c r="A4" t="inlineStr">
        <is>
          <t>A · Guests who'll drink alcohol</t>
        </is>
      </c>
      <c r="B4" s="6" t="n"/>
    </row>
    <row r="5">
      <c r="A5" t="inlineStr">
        <is>
          <t>B · Hours (from At a Glance; overwrite if you like)</t>
        </is>
      </c>
      <c r="B5" s="20">
        <f>'At a Glance'!B12</f>
        <v/>
      </c>
    </row>
    <row r="6">
      <c r="A6" t="inlineStr">
        <is>
          <t>C · Drinks per drinking guest: 2 + (B − 1)</t>
        </is>
      </c>
      <c r="B6" s="21">
        <f>IF(B5="","",2+(B5-1))</f>
        <v/>
      </c>
    </row>
    <row r="7">
      <c r="A7" t="inlineStr">
        <is>
          <t>D · Total alcoholic drinks: A × C</t>
        </is>
      </c>
      <c r="B7" s="22">
        <f>IF(OR(B4="",B6=""),"",B4*B6)</f>
        <v/>
      </c>
    </row>
    <row r="8">
      <c r="A8" t="inlineStr">
        <is>
          <t>E · Bottles of wine, if all wine: D ÷ 5, rounded up</t>
        </is>
      </c>
      <c r="B8" s="22">
        <f>IF(B7="","",ROUNDUP(B7/5,0))</f>
        <v/>
      </c>
    </row>
    <row r="9">
      <c r="A9" t="inlineStr">
        <is>
          <t>F · Guests not drinking alcohol</t>
        </is>
      </c>
      <c r="B9" s="6" t="n"/>
    </row>
    <row r="10">
      <c r="A10" t="inlineStr">
        <is>
          <t>Spare non-alcoholic drinks for drivers</t>
        </is>
      </c>
      <c r="B10" s="6" t="n">
        <v>3</v>
      </c>
    </row>
    <row r="11">
      <c r="A11" t="inlineStr">
        <is>
          <t>G · Non-alcoholic drinks: F × C + spare</t>
        </is>
      </c>
      <c r="B11" s="22">
        <f>IF(OR(B9="",B6=""),"",B9*B6+B10)</f>
        <v/>
      </c>
    </row>
    <row r="12">
      <c r="A12" t="inlineStr">
        <is>
          <t>H · Ice, lb (about 1 lb per guest)</t>
        </is>
      </c>
      <c r="B12" s="22">
        <f>IF('At a Glance'!B9="","",'At a Glance'!B9*1)</f>
        <v/>
      </c>
    </row>
    <row r="13">
      <c r="A13" t="inlineStr">
        <is>
          <t>H · Ice, kg (about 0.5 kg per guest)</t>
        </is>
      </c>
      <c r="B13" s="21">
        <f>IF('At a Glance'!B9="","",'At a Glance'!B9*0.5)</f>
        <v/>
      </c>
    </row>
    <row r="14">
      <c r="A14" t="inlineStr">
        <is>
          <t>I · Water jugs (one per four guests)</t>
        </is>
      </c>
      <c r="B14" s="22">
        <f>IF('At a Glance'!B9="","",ROUNDUP('At a Glance'!B9/4,0))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28" customWidth="1" min="3" max="3"/>
    <col width="10" customWidth="1" min="4" max="4"/>
    <col width="7" customWidth="1" min="5" max="5"/>
    <col width="8" customWidth="1" min="6" max="6"/>
    <col width="24" customWidth="1" min="7" max="7"/>
    <col width="3" customWidth="1" min="8" max="8"/>
    <col width="30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The Shopping List</t>
        </is>
      </c>
    </row>
    <row r="2">
      <c r="A2" s="2" t="inlineStr">
        <is>
          <t>Dry goods at T-5; fresh things at T-2. Totals check against your Per-Plate shares.</t>
        </is>
      </c>
    </row>
    <row r="4">
      <c r="A4" s="13" t="inlineStr">
        <is>
          <t>Item</t>
        </is>
      </c>
      <c r="B4" s="13" t="inlineStr">
        <is>
          <t>Qty</t>
        </is>
      </c>
      <c r="C4" s="13" t="inlineStr">
        <is>
          <t>Share</t>
        </is>
      </c>
      <c r="D4" s="13" t="inlineStr">
        <is>
          <t>Est. $</t>
        </is>
      </c>
      <c r="E4" s="13" t="inlineStr">
        <is>
          <t>When</t>
        </is>
      </c>
      <c r="F4" s="13" t="inlineStr">
        <is>
          <t>Bought</t>
        </is>
      </c>
      <c r="G4" s="13" t="inlineStr">
        <is>
          <t>Assigned to a guest instead?</t>
        </is>
      </c>
      <c r="I4" s="13" t="inlineStr">
        <is>
          <t>Share</t>
        </is>
      </c>
      <c r="J4" s="13" t="inlineStr">
        <is>
          <t>Line</t>
        </is>
      </c>
      <c r="K4" s="13" t="inlineStr">
        <is>
          <t>Est. on list</t>
        </is>
      </c>
      <c r="L4" s="13" t="inlineStr">
        <is>
          <t>Left</t>
        </is>
      </c>
    </row>
    <row r="5">
      <c r="A5" s="3" t="n"/>
      <c r="B5" s="3" t="n"/>
      <c r="C5" s="3" t="n"/>
      <c r="D5" s="7" t="n"/>
      <c r="E5" s="3" t="n"/>
      <c r="F5" s="3" t="n"/>
      <c r="G5" s="3" t="n"/>
      <c r="I5" s="14" t="inlineStr">
        <is>
          <t>Showpiece</t>
        </is>
      </c>
      <c r="J5" s="17">
        <f>'Per-Plate'!C5</f>
        <v/>
      </c>
      <c r="K5" s="17">
        <f>SUMIF($C$5:$C$64,I5,$D$5:$D$64)</f>
        <v/>
      </c>
      <c r="L5" s="17">
        <f>IF(J5="","",J5-K5)</f>
        <v/>
      </c>
    </row>
    <row r="6">
      <c r="A6" s="3" t="n"/>
      <c r="B6" s="3" t="n"/>
      <c r="C6" s="3" t="n"/>
      <c r="D6" s="7" t="n"/>
      <c r="E6" s="3" t="n"/>
      <c r="F6" s="3" t="n"/>
      <c r="G6" s="3" t="n"/>
      <c r="I6" s="14" t="inlineStr">
        <is>
          <t>Sides and bread</t>
        </is>
      </c>
      <c r="J6" s="17">
        <f>'Per-Plate'!C6</f>
        <v/>
      </c>
      <c r="K6" s="17">
        <f>SUMIF($C$5:$C$64,I6,$D$5:$D$64)</f>
        <v/>
      </c>
      <c r="L6" s="17">
        <f>IF(J6="","",J6-K6)</f>
        <v/>
      </c>
    </row>
    <row r="7">
      <c r="A7" s="3" t="n"/>
      <c r="B7" s="3" t="n"/>
      <c r="C7" s="3" t="n"/>
      <c r="D7" s="7" t="n"/>
      <c r="E7" s="3" t="n"/>
      <c r="F7" s="3" t="n"/>
      <c r="G7" s="3" t="n"/>
      <c r="I7" s="14" t="inlineStr">
        <is>
          <t>Nibbles or starter (appetizers)</t>
        </is>
      </c>
      <c r="J7" s="17">
        <f>'Per-Plate'!C7</f>
        <v/>
      </c>
      <c r="K7" s="17">
        <f>SUMIF($C$5:$C$64,I7,$D$5:$D$64)</f>
        <v/>
      </c>
      <c r="L7" s="17">
        <f>IF(J7="","",J7-K7)</f>
        <v/>
      </c>
    </row>
    <row r="8">
      <c r="A8" s="3" t="n"/>
      <c r="B8" s="3" t="n"/>
      <c r="C8" s="3" t="n"/>
      <c r="D8" s="7" t="n"/>
      <c r="E8" s="3" t="n"/>
      <c r="F8" s="3" t="n"/>
      <c r="G8" s="3" t="n"/>
      <c r="I8" s="14" t="inlineStr">
        <is>
          <t>Pudding (dessert)</t>
        </is>
      </c>
      <c r="J8" s="17">
        <f>'Per-Plate'!C8</f>
        <v/>
      </c>
      <c r="K8" s="17">
        <f>SUMIF($C$5:$C$64,I8,$D$5:$D$64)</f>
        <v/>
      </c>
      <c r="L8" s="17">
        <f>IF(J8="","",J8-K8)</f>
        <v/>
      </c>
    </row>
    <row r="9">
      <c r="A9" s="3" t="n"/>
      <c r="B9" s="3" t="n"/>
      <c r="C9" s="3" t="n"/>
      <c r="D9" s="7" t="n"/>
      <c r="E9" s="3" t="n"/>
      <c r="F9" s="3" t="n"/>
      <c r="G9" s="3" t="n"/>
      <c r="I9" s="14" t="inlineStr">
        <is>
          <t>Drinks (incl. non-alcoholic, ice)</t>
        </is>
      </c>
      <c r="J9" s="17">
        <f>'Per-Plate'!C9</f>
        <v/>
      </c>
      <c r="K9" s="17">
        <f>SUMIF($C$5:$C$64,I9,$D$5:$D$64)</f>
        <v/>
      </c>
      <c r="L9" s="17">
        <f>IF(J9="","",J9-K9)</f>
        <v/>
      </c>
    </row>
    <row r="10">
      <c r="A10" s="3" t="n"/>
      <c r="B10" s="3" t="n"/>
      <c r="C10" s="3" t="n"/>
      <c r="D10" s="7" t="n"/>
      <c r="E10" s="3" t="n"/>
      <c r="F10" s="3" t="n"/>
      <c r="G10" s="3" t="n"/>
      <c r="I10" s="14" t="inlineStr">
        <is>
          <t>The table</t>
        </is>
      </c>
      <c r="J10" s="17">
        <f>'Per-Plate'!C10</f>
        <v/>
      </c>
      <c r="K10" s="17">
        <f>SUMIF($C$5:$C$64,I10,$D$5:$D$64)</f>
        <v/>
      </c>
      <c r="L10" s="17">
        <f>IF(J10="","",J10-K10)</f>
        <v/>
      </c>
    </row>
    <row r="11">
      <c r="A11" s="3" t="n"/>
      <c r="B11" s="3" t="n"/>
      <c r="C11" s="3" t="n"/>
      <c r="D11" s="7" t="n"/>
      <c r="E11" s="3" t="n"/>
      <c r="F11" s="3" t="n"/>
      <c r="G11" s="3" t="n"/>
    </row>
    <row r="12">
      <c r="A12" s="3" t="n"/>
      <c r="B12" s="3" t="n"/>
      <c r="C12" s="3" t="n"/>
      <c r="D12" s="7" t="n"/>
      <c r="E12" s="3" t="n"/>
      <c r="F12" s="3" t="n"/>
      <c r="G12" s="3" t="n"/>
      <c r="I12" t="inlineStr">
        <is>
          <t>T-5 items</t>
        </is>
      </c>
      <c r="K12">
        <f>COUNTIF(E5:E64,"T-5")</f>
        <v/>
      </c>
    </row>
    <row r="13">
      <c r="A13" s="3" t="n"/>
      <c r="B13" s="3" t="n"/>
      <c r="C13" s="3" t="n"/>
      <c r="D13" s="7" t="n"/>
      <c r="E13" s="3" t="n"/>
      <c r="F13" s="3" t="n"/>
      <c r="G13" s="3" t="n"/>
      <c r="I13" t="inlineStr">
        <is>
          <t>T-2 items</t>
        </is>
      </c>
      <c r="K13">
        <f>COUNTIF(E5:E64,"T-2")</f>
        <v/>
      </c>
    </row>
    <row r="14">
      <c r="A14" s="3" t="n"/>
      <c r="B14" s="3" t="n"/>
      <c r="C14" s="3" t="n"/>
      <c r="D14" s="7" t="n"/>
      <c r="E14" s="3" t="n"/>
      <c r="F14" s="3" t="n"/>
      <c r="G14" s="3" t="n"/>
      <c r="I14" t="inlineStr">
        <is>
          <t>Bought</t>
        </is>
      </c>
      <c r="K14">
        <f>COUNTIF(F5:F64,"✓")</f>
        <v/>
      </c>
    </row>
    <row r="15">
      <c r="A15" s="3" t="n"/>
      <c r="B15" s="3" t="n"/>
      <c r="C15" s="3" t="n"/>
      <c r="D15" s="7" t="n"/>
      <c r="E15" s="3" t="n"/>
      <c r="F15" s="3" t="n"/>
      <c r="G15" s="3" t="n"/>
    </row>
    <row r="16">
      <c r="A16" s="3" t="n"/>
      <c r="B16" s="3" t="n"/>
      <c r="C16" s="3" t="n"/>
      <c r="D16" s="7" t="n"/>
      <c r="E16" s="3" t="n"/>
      <c r="F16" s="3" t="n"/>
      <c r="G16" s="3" t="n"/>
    </row>
    <row r="17">
      <c r="A17" s="3" t="n"/>
      <c r="B17" s="3" t="n"/>
      <c r="C17" s="3" t="n"/>
      <c r="D17" s="7" t="n"/>
      <c r="E17" s="3" t="n"/>
      <c r="F17" s="3" t="n"/>
      <c r="G17" s="3" t="n"/>
    </row>
    <row r="18">
      <c r="A18" s="3" t="n"/>
      <c r="B18" s="3" t="n"/>
      <c r="C18" s="3" t="n"/>
      <c r="D18" s="7" t="n"/>
      <c r="E18" s="3" t="n"/>
      <c r="F18" s="3" t="n"/>
      <c r="G18" s="3" t="n"/>
    </row>
    <row r="19">
      <c r="A19" s="3" t="n"/>
      <c r="B19" s="3" t="n"/>
      <c r="C19" s="3" t="n"/>
      <c r="D19" s="7" t="n"/>
      <c r="E19" s="3" t="n"/>
      <c r="F19" s="3" t="n"/>
      <c r="G19" s="3" t="n"/>
    </row>
    <row r="20">
      <c r="A20" s="3" t="n"/>
      <c r="B20" s="3" t="n"/>
      <c r="C20" s="3" t="n"/>
      <c r="D20" s="7" t="n"/>
      <c r="E20" s="3" t="n"/>
      <c r="F20" s="3" t="n"/>
      <c r="G20" s="3" t="n"/>
    </row>
    <row r="21">
      <c r="A21" s="3" t="n"/>
      <c r="B21" s="3" t="n"/>
      <c r="C21" s="3" t="n"/>
      <c r="D21" s="7" t="n"/>
      <c r="E21" s="3" t="n"/>
      <c r="F21" s="3" t="n"/>
      <c r="G21" s="3" t="n"/>
    </row>
    <row r="22">
      <c r="A22" s="3" t="n"/>
      <c r="B22" s="3" t="n"/>
      <c r="C22" s="3" t="n"/>
      <c r="D22" s="7" t="n"/>
      <c r="E22" s="3" t="n"/>
      <c r="F22" s="3" t="n"/>
      <c r="G22" s="3" t="n"/>
    </row>
    <row r="23">
      <c r="A23" s="3" t="n"/>
      <c r="B23" s="3" t="n"/>
      <c r="C23" s="3" t="n"/>
      <c r="D23" s="7" t="n"/>
      <c r="E23" s="3" t="n"/>
      <c r="F23" s="3" t="n"/>
      <c r="G23" s="3" t="n"/>
    </row>
    <row r="24">
      <c r="A24" s="3" t="n"/>
      <c r="B24" s="3" t="n"/>
      <c r="C24" s="3" t="n"/>
      <c r="D24" s="7" t="n"/>
      <c r="E24" s="3" t="n"/>
      <c r="F24" s="3" t="n"/>
      <c r="G24" s="3" t="n"/>
    </row>
    <row r="25">
      <c r="A25" s="3" t="n"/>
      <c r="B25" s="3" t="n"/>
      <c r="C25" s="3" t="n"/>
      <c r="D25" s="7" t="n"/>
      <c r="E25" s="3" t="n"/>
      <c r="F25" s="3" t="n"/>
      <c r="G25" s="3" t="n"/>
    </row>
    <row r="26">
      <c r="A26" s="3" t="n"/>
      <c r="B26" s="3" t="n"/>
      <c r="C26" s="3" t="n"/>
      <c r="D26" s="7" t="n"/>
      <c r="E26" s="3" t="n"/>
      <c r="F26" s="3" t="n"/>
      <c r="G26" s="3" t="n"/>
    </row>
    <row r="27">
      <c r="A27" s="3" t="n"/>
      <c r="B27" s="3" t="n"/>
      <c r="C27" s="3" t="n"/>
      <c r="D27" s="7" t="n"/>
      <c r="E27" s="3" t="n"/>
      <c r="F27" s="3" t="n"/>
      <c r="G27" s="3" t="n"/>
    </row>
    <row r="28">
      <c r="A28" s="3" t="n"/>
      <c r="B28" s="3" t="n"/>
      <c r="C28" s="3" t="n"/>
      <c r="D28" s="7" t="n"/>
      <c r="E28" s="3" t="n"/>
      <c r="F28" s="3" t="n"/>
      <c r="G28" s="3" t="n"/>
    </row>
    <row r="29">
      <c r="A29" s="3" t="n"/>
      <c r="B29" s="3" t="n"/>
      <c r="C29" s="3" t="n"/>
      <c r="D29" s="7" t="n"/>
      <c r="E29" s="3" t="n"/>
      <c r="F29" s="3" t="n"/>
      <c r="G29" s="3" t="n"/>
    </row>
    <row r="30">
      <c r="A30" s="3" t="n"/>
      <c r="B30" s="3" t="n"/>
      <c r="C30" s="3" t="n"/>
      <c r="D30" s="7" t="n"/>
      <c r="E30" s="3" t="n"/>
      <c r="F30" s="3" t="n"/>
      <c r="G30" s="3" t="n"/>
    </row>
    <row r="31">
      <c r="A31" s="3" t="n"/>
      <c r="B31" s="3" t="n"/>
      <c r="C31" s="3" t="n"/>
      <c r="D31" s="7" t="n"/>
      <c r="E31" s="3" t="n"/>
      <c r="F31" s="3" t="n"/>
      <c r="G31" s="3" t="n"/>
    </row>
    <row r="32">
      <c r="A32" s="3" t="n"/>
      <c r="B32" s="3" t="n"/>
      <c r="C32" s="3" t="n"/>
      <c r="D32" s="7" t="n"/>
      <c r="E32" s="3" t="n"/>
      <c r="F32" s="3" t="n"/>
      <c r="G32" s="3" t="n"/>
    </row>
    <row r="33">
      <c r="A33" s="3" t="n"/>
      <c r="B33" s="3" t="n"/>
      <c r="C33" s="3" t="n"/>
      <c r="D33" s="7" t="n"/>
      <c r="E33" s="3" t="n"/>
      <c r="F33" s="3" t="n"/>
      <c r="G33" s="3" t="n"/>
    </row>
    <row r="34">
      <c r="A34" s="3" t="n"/>
      <c r="B34" s="3" t="n"/>
      <c r="C34" s="3" t="n"/>
      <c r="D34" s="7" t="n"/>
      <c r="E34" s="3" t="n"/>
      <c r="F34" s="3" t="n"/>
      <c r="G34" s="3" t="n"/>
    </row>
    <row r="35">
      <c r="A35" s="3" t="n"/>
      <c r="B35" s="3" t="n"/>
      <c r="C35" s="3" t="n"/>
      <c r="D35" s="7" t="n"/>
      <c r="E35" s="3" t="n"/>
      <c r="F35" s="3" t="n"/>
      <c r="G35" s="3" t="n"/>
    </row>
    <row r="36">
      <c r="A36" s="3" t="n"/>
      <c r="B36" s="3" t="n"/>
      <c r="C36" s="3" t="n"/>
      <c r="D36" s="7" t="n"/>
      <c r="E36" s="3" t="n"/>
      <c r="F36" s="3" t="n"/>
      <c r="G36" s="3" t="n"/>
    </row>
    <row r="37">
      <c r="A37" s="3" t="n"/>
      <c r="B37" s="3" t="n"/>
      <c r="C37" s="3" t="n"/>
      <c r="D37" s="7" t="n"/>
      <c r="E37" s="3" t="n"/>
      <c r="F37" s="3" t="n"/>
      <c r="G37" s="3" t="n"/>
    </row>
    <row r="38">
      <c r="A38" s="3" t="n"/>
      <c r="B38" s="3" t="n"/>
      <c r="C38" s="3" t="n"/>
      <c r="D38" s="7" t="n"/>
      <c r="E38" s="3" t="n"/>
      <c r="F38" s="3" t="n"/>
      <c r="G38" s="3" t="n"/>
    </row>
    <row r="39">
      <c r="A39" s="3" t="n"/>
      <c r="B39" s="3" t="n"/>
      <c r="C39" s="3" t="n"/>
      <c r="D39" s="7" t="n"/>
      <c r="E39" s="3" t="n"/>
      <c r="F39" s="3" t="n"/>
      <c r="G39" s="3" t="n"/>
    </row>
    <row r="40">
      <c r="A40" s="3" t="n"/>
      <c r="B40" s="3" t="n"/>
      <c r="C40" s="3" t="n"/>
      <c r="D40" s="7" t="n"/>
      <c r="E40" s="3" t="n"/>
      <c r="F40" s="3" t="n"/>
      <c r="G40" s="3" t="n"/>
    </row>
    <row r="41">
      <c r="A41" s="3" t="n"/>
      <c r="B41" s="3" t="n"/>
      <c r="C41" s="3" t="n"/>
      <c r="D41" s="7" t="n"/>
      <c r="E41" s="3" t="n"/>
      <c r="F41" s="3" t="n"/>
      <c r="G41" s="3" t="n"/>
    </row>
    <row r="42">
      <c r="A42" s="3" t="n"/>
      <c r="B42" s="3" t="n"/>
      <c r="C42" s="3" t="n"/>
      <c r="D42" s="7" t="n"/>
      <c r="E42" s="3" t="n"/>
      <c r="F42" s="3" t="n"/>
      <c r="G42" s="3" t="n"/>
    </row>
    <row r="43">
      <c r="A43" s="3" t="n"/>
      <c r="B43" s="3" t="n"/>
      <c r="C43" s="3" t="n"/>
      <c r="D43" s="7" t="n"/>
      <c r="E43" s="3" t="n"/>
      <c r="F43" s="3" t="n"/>
      <c r="G43" s="3" t="n"/>
    </row>
    <row r="44">
      <c r="A44" s="3" t="n"/>
      <c r="B44" s="3" t="n"/>
      <c r="C44" s="3" t="n"/>
      <c r="D44" s="7" t="n"/>
      <c r="E44" s="3" t="n"/>
      <c r="F44" s="3" t="n"/>
      <c r="G44" s="3" t="n"/>
    </row>
    <row r="45">
      <c r="A45" s="3" t="n"/>
      <c r="B45" s="3" t="n"/>
      <c r="C45" s="3" t="n"/>
      <c r="D45" s="7" t="n"/>
      <c r="E45" s="3" t="n"/>
      <c r="F45" s="3" t="n"/>
      <c r="G45" s="3" t="n"/>
    </row>
    <row r="46">
      <c r="A46" s="3" t="n"/>
      <c r="B46" s="3" t="n"/>
      <c r="C46" s="3" t="n"/>
      <c r="D46" s="7" t="n"/>
      <c r="E46" s="3" t="n"/>
      <c r="F46" s="3" t="n"/>
      <c r="G46" s="3" t="n"/>
    </row>
    <row r="47">
      <c r="A47" s="3" t="n"/>
      <c r="B47" s="3" t="n"/>
      <c r="C47" s="3" t="n"/>
      <c r="D47" s="7" t="n"/>
      <c r="E47" s="3" t="n"/>
      <c r="F47" s="3" t="n"/>
      <c r="G47" s="3" t="n"/>
    </row>
    <row r="48">
      <c r="A48" s="3" t="n"/>
      <c r="B48" s="3" t="n"/>
      <c r="C48" s="3" t="n"/>
      <c r="D48" s="7" t="n"/>
      <c r="E48" s="3" t="n"/>
      <c r="F48" s="3" t="n"/>
      <c r="G48" s="3" t="n"/>
    </row>
    <row r="49">
      <c r="A49" s="3" t="n"/>
      <c r="B49" s="3" t="n"/>
      <c r="C49" s="3" t="n"/>
      <c r="D49" s="7" t="n"/>
      <c r="E49" s="3" t="n"/>
      <c r="F49" s="3" t="n"/>
      <c r="G49" s="3" t="n"/>
    </row>
    <row r="50">
      <c r="A50" s="3" t="n"/>
      <c r="B50" s="3" t="n"/>
      <c r="C50" s="3" t="n"/>
      <c r="D50" s="7" t="n"/>
      <c r="E50" s="3" t="n"/>
      <c r="F50" s="3" t="n"/>
      <c r="G50" s="3" t="n"/>
    </row>
    <row r="51">
      <c r="A51" s="3" t="n"/>
      <c r="B51" s="3" t="n"/>
      <c r="C51" s="3" t="n"/>
      <c r="D51" s="7" t="n"/>
      <c r="E51" s="3" t="n"/>
      <c r="F51" s="3" t="n"/>
      <c r="G51" s="3" t="n"/>
    </row>
    <row r="52">
      <c r="A52" s="3" t="n"/>
      <c r="B52" s="3" t="n"/>
      <c r="C52" s="3" t="n"/>
      <c r="D52" s="7" t="n"/>
      <c r="E52" s="3" t="n"/>
      <c r="F52" s="3" t="n"/>
      <c r="G52" s="3" t="n"/>
    </row>
    <row r="53">
      <c r="A53" s="3" t="n"/>
      <c r="B53" s="3" t="n"/>
      <c r="C53" s="3" t="n"/>
      <c r="D53" s="7" t="n"/>
      <c r="E53" s="3" t="n"/>
      <c r="F53" s="3" t="n"/>
      <c r="G53" s="3" t="n"/>
    </row>
    <row r="54">
      <c r="A54" s="3" t="n"/>
      <c r="B54" s="3" t="n"/>
      <c r="C54" s="3" t="n"/>
      <c r="D54" s="7" t="n"/>
      <c r="E54" s="3" t="n"/>
      <c r="F54" s="3" t="n"/>
      <c r="G54" s="3" t="n"/>
    </row>
    <row r="55">
      <c r="A55" s="3" t="n"/>
      <c r="B55" s="3" t="n"/>
      <c r="C55" s="3" t="n"/>
      <c r="D55" s="7" t="n"/>
      <c r="E55" s="3" t="n"/>
      <c r="F55" s="3" t="n"/>
      <c r="G55" s="3" t="n"/>
    </row>
    <row r="56">
      <c r="A56" s="3" t="n"/>
      <c r="B56" s="3" t="n"/>
      <c r="C56" s="3" t="n"/>
      <c r="D56" s="7" t="n"/>
      <c r="E56" s="3" t="n"/>
      <c r="F56" s="3" t="n"/>
      <c r="G56" s="3" t="n"/>
    </row>
    <row r="57">
      <c r="A57" s="3" t="n"/>
      <c r="B57" s="3" t="n"/>
      <c r="C57" s="3" t="n"/>
      <c r="D57" s="7" t="n"/>
      <c r="E57" s="3" t="n"/>
      <c r="F57" s="3" t="n"/>
      <c r="G57" s="3" t="n"/>
    </row>
    <row r="58">
      <c r="A58" s="3" t="n"/>
      <c r="B58" s="3" t="n"/>
      <c r="C58" s="3" t="n"/>
      <c r="D58" s="7" t="n"/>
      <c r="E58" s="3" t="n"/>
      <c r="F58" s="3" t="n"/>
      <c r="G58" s="3" t="n"/>
    </row>
    <row r="59">
      <c r="A59" s="3" t="n"/>
      <c r="B59" s="3" t="n"/>
      <c r="C59" s="3" t="n"/>
      <c r="D59" s="7" t="n"/>
      <c r="E59" s="3" t="n"/>
      <c r="F59" s="3" t="n"/>
      <c r="G59" s="3" t="n"/>
    </row>
    <row r="60">
      <c r="A60" s="3" t="n"/>
      <c r="B60" s="3" t="n"/>
      <c r="C60" s="3" t="n"/>
      <c r="D60" s="7" t="n"/>
      <c r="E60" s="3" t="n"/>
      <c r="F60" s="3" t="n"/>
      <c r="G60" s="3" t="n"/>
    </row>
    <row r="61">
      <c r="A61" s="3" t="n"/>
      <c r="B61" s="3" t="n"/>
      <c r="C61" s="3" t="n"/>
      <c r="D61" s="7" t="n"/>
      <c r="E61" s="3" t="n"/>
      <c r="F61" s="3" t="n"/>
      <c r="G61" s="3" t="n"/>
    </row>
    <row r="62">
      <c r="A62" s="3" t="n"/>
      <c r="B62" s="3" t="n"/>
      <c r="C62" s="3" t="n"/>
      <c r="D62" s="7" t="n"/>
      <c r="E62" s="3" t="n"/>
      <c r="F62" s="3" t="n"/>
      <c r="G62" s="3" t="n"/>
    </row>
    <row r="63">
      <c r="A63" s="3" t="n"/>
      <c r="B63" s="3" t="n"/>
      <c r="C63" s="3" t="n"/>
      <c r="D63" s="7" t="n"/>
      <c r="E63" s="3" t="n"/>
      <c r="F63" s="3" t="n"/>
      <c r="G63" s="3" t="n"/>
    </row>
    <row r="64">
      <c r="A64" s="3" t="n"/>
      <c r="B64" s="3" t="n"/>
      <c r="C64" s="3" t="n"/>
      <c r="D64" s="7" t="n"/>
      <c r="E64" s="3" t="n"/>
      <c r="F64" s="3" t="n"/>
      <c r="G64" s="3" t="n"/>
    </row>
  </sheetData>
  <conditionalFormatting sqref="I5:L10">
    <cfRule type="expression" priority="1" dxfId="0">
      <formula>AND(ISNUMBER($J5),$K5&gt;$J5)</formula>
    </cfRule>
  </conditionalFormatting>
  <dataValidations count="3">
    <dataValidation sqref="C5:C64" showDropDown="0" showInputMessage="0" showErrorMessage="0" allowBlank="1" type="list">
      <formula1>"Showpiece,Sides and bread,Nibbles or starter (appetizers),Pudding (dessert),Drinks (incl. non-alcoholic, ice),The table"</formula1>
    </dataValidation>
    <dataValidation sqref="E5:E64" showDropDown="0" showInputMessage="0" showErrorMessage="0" allowBlank="1" type="list">
      <formula1>"T-5,T-2"</formula1>
    </dataValidation>
    <dataValidation sqref="F5:F64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26" customWidth="1" min="3" max="3"/>
    <col width="14" customWidth="1" min="4" max="4"/>
    <col width="8" customWidth="1" min="5" max="5"/>
    <col width="9" customWidth="1" min="6" max="6"/>
    <col width="7" customWidth="1" min="7" max="7"/>
    <col width="9" customWidth="1" min="8" max="8"/>
    <col width="11" customWidth="1" min="9" max="9"/>
    <col width="12" customWidth="1" min="10" max="10"/>
  </cols>
  <sheetData>
    <row r="1">
      <c r="A1" s="1" t="inlineStr">
        <is>
          <t>The Gift Ledger</t>
        </is>
      </c>
    </row>
    <row r="2">
      <c r="A2" s="2" t="inlineStr">
        <is>
          <t>A ceiling per name, in ink. Use it, Eat it, or Keep it ten years. A row turns amber when Spent passes its ceiling.</t>
        </is>
      </c>
    </row>
    <row r="4">
      <c r="A4" t="inlineStr">
        <is>
          <t>Season gift total (your limit, incl. Staff &amp; Service)</t>
        </is>
      </c>
      <c r="B4" s="7" t="n"/>
    </row>
    <row r="5">
      <c r="A5" t="inlineStr">
        <is>
          <t>Staff &amp; Service total (from its tab)</t>
        </is>
      </c>
      <c r="B5" s="17">
        <f>'Staff &amp; Service'!C17</f>
        <v/>
      </c>
    </row>
    <row r="6">
      <c r="A6" t="inlineStr">
        <is>
          <t>Gift ceilings, all names</t>
        </is>
      </c>
      <c r="B6" s="17">
        <f>SUM(B12:B51)</f>
        <v/>
      </c>
    </row>
    <row r="7">
      <c r="A7" t="inlineStr">
        <is>
          <t>Ceilings + Staff &amp; Service</t>
        </is>
      </c>
      <c r="B7" s="17">
        <f>B5+B6</f>
        <v/>
      </c>
    </row>
    <row r="8">
      <c r="A8" t="inlineStr">
        <is>
          <t>Check</t>
        </is>
      </c>
      <c r="B8" s="19">
        <f>IF(B4="","Type your season total",IF(B7&lt;=B4,"Within the total","Over by $"&amp;TEXT(B7-B4,"0.00")&amp;": lower a ceiling, or move a name to card-and-a-note"))</f>
        <v/>
      </c>
    </row>
    <row r="9">
      <c r="A9" t="inlineStr">
        <is>
          <t>Spent so far (gifts + Staff &amp; Service given)</t>
        </is>
      </c>
      <c r="B9" s="17">
        <f>SUM(I12:I51)+'Staff &amp; Service'!C18</f>
        <v/>
      </c>
    </row>
    <row r="11">
      <c r="A11" s="13" t="inlineStr">
        <is>
          <t>Name</t>
        </is>
      </c>
      <c r="B11" s="13" t="inlineStr">
        <is>
          <t>Ceiling</t>
        </is>
      </c>
      <c r="C11" s="13" t="inlineStr">
        <is>
          <t>Idea</t>
        </is>
      </c>
      <c r="D11" s="13" t="inlineStr">
        <is>
          <t>Test (U / E / K)</t>
        </is>
      </c>
      <c r="E11" s="13" t="inlineStr">
        <is>
          <t>Bought</t>
        </is>
      </c>
      <c r="F11" s="13" t="inlineStr">
        <is>
          <t>Wrapped</t>
        </is>
      </c>
      <c r="G11" s="13" t="inlineStr">
        <is>
          <t>Sent</t>
        </is>
      </c>
      <c r="H11" s="13" t="inlineStr">
        <is>
          <t>Thanked</t>
        </is>
      </c>
      <c r="I11" s="13" t="inlineStr">
        <is>
          <t>Spent</t>
        </is>
      </c>
      <c r="J11" s="13" t="inlineStr">
        <is>
          <t>Over / under</t>
        </is>
      </c>
    </row>
    <row r="12">
      <c r="A12" s="3" t="n"/>
      <c r="B12" s="7" t="n"/>
      <c r="C12" s="3" t="n"/>
      <c r="D12" s="3" t="n"/>
      <c r="E12" s="3" t="n"/>
      <c r="F12" s="3" t="n"/>
      <c r="G12" s="3" t="n"/>
      <c r="H12" s="3" t="n"/>
      <c r="I12" s="7" t="n"/>
      <c r="J12" s="17">
        <f>IF(OR(I12="",B12=""),"",I12-B12)</f>
        <v/>
      </c>
    </row>
    <row r="13">
      <c r="A13" s="3" t="n"/>
      <c r="B13" s="7" t="n"/>
      <c r="C13" s="3" t="n"/>
      <c r="D13" s="3" t="n"/>
      <c r="E13" s="3" t="n"/>
      <c r="F13" s="3" t="n"/>
      <c r="G13" s="3" t="n"/>
      <c r="H13" s="3" t="n"/>
      <c r="I13" s="7" t="n"/>
      <c r="J13" s="17">
        <f>IF(OR(I13="",B13=""),"",I13-B13)</f>
        <v/>
      </c>
    </row>
    <row r="14">
      <c r="A14" s="3" t="n"/>
      <c r="B14" s="7" t="n"/>
      <c r="C14" s="3" t="n"/>
      <c r="D14" s="3" t="n"/>
      <c r="E14" s="3" t="n"/>
      <c r="F14" s="3" t="n"/>
      <c r="G14" s="3" t="n"/>
      <c r="H14" s="3" t="n"/>
      <c r="I14" s="7" t="n"/>
      <c r="J14" s="17">
        <f>IF(OR(I14="",B14=""),"",I14-B14)</f>
        <v/>
      </c>
    </row>
    <row r="15">
      <c r="A15" s="3" t="n"/>
      <c r="B15" s="7" t="n"/>
      <c r="C15" s="3" t="n"/>
      <c r="D15" s="3" t="n"/>
      <c r="E15" s="3" t="n"/>
      <c r="F15" s="3" t="n"/>
      <c r="G15" s="3" t="n"/>
      <c r="H15" s="3" t="n"/>
      <c r="I15" s="7" t="n"/>
      <c r="J15" s="17">
        <f>IF(OR(I15="",B15=""),"",I15-B15)</f>
        <v/>
      </c>
    </row>
    <row r="16">
      <c r="A16" s="3" t="n"/>
      <c r="B16" s="7" t="n"/>
      <c r="C16" s="3" t="n"/>
      <c r="D16" s="3" t="n"/>
      <c r="E16" s="3" t="n"/>
      <c r="F16" s="3" t="n"/>
      <c r="G16" s="3" t="n"/>
      <c r="H16" s="3" t="n"/>
      <c r="I16" s="7" t="n"/>
      <c r="J16" s="17">
        <f>IF(OR(I16="",B16=""),"",I16-B16)</f>
        <v/>
      </c>
    </row>
    <row r="17">
      <c r="A17" s="3" t="n"/>
      <c r="B17" s="7" t="n"/>
      <c r="C17" s="3" t="n"/>
      <c r="D17" s="3" t="n"/>
      <c r="E17" s="3" t="n"/>
      <c r="F17" s="3" t="n"/>
      <c r="G17" s="3" t="n"/>
      <c r="H17" s="3" t="n"/>
      <c r="I17" s="7" t="n"/>
      <c r="J17" s="17">
        <f>IF(OR(I17="",B17=""),"",I17-B17)</f>
        <v/>
      </c>
    </row>
    <row r="18">
      <c r="A18" s="3" t="n"/>
      <c r="B18" s="7" t="n"/>
      <c r="C18" s="3" t="n"/>
      <c r="D18" s="3" t="n"/>
      <c r="E18" s="3" t="n"/>
      <c r="F18" s="3" t="n"/>
      <c r="G18" s="3" t="n"/>
      <c r="H18" s="3" t="n"/>
      <c r="I18" s="7" t="n"/>
      <c r="J18" s="17">
        <f>IF(OR(I18="",B18=""),"",I18-B18)</f>
        <v/>
      </c>
    </row>
    <row r="19">
      <c r="A19" s="3" t="n"/>
      <c r="B19" s="7" t="n"/>
      <c r="C19" s="3" t="n"/>
      <c r="D19" s="3" t="n"/>
      <c r="E19" s="3" t="n"/>
      <c r="F19" s="3" t="n"/>
      <c r="G19" s="3" t="n"/>
      <c r="H19" s="3" t="n"/>
      <c r="I19" s="7" t="n"/>
      <c r="J19" s="17">
        <f>IF(OR(I19="",B19=""),"",I19-B19)</f>
        <v/>
      </c>
    </row>
    <row r="20">
      <c r="A20" s="3" t="n"/>
      <c r="B20" s="7" t="n"/>
      <c r="C20" s="3" t="n"/>
      <c r="D20" s="3" t="n"/>
      <c r="E20" s="3" t="n"/>
      <c r="F20" s="3" t="n"/>
      <c r="G20" s="3" t="n"/>
      <c r="H20" s="3" t="n"/>
      <c r="I20" s="7" t="n"/>
      <c r="J20" s="17">
        <f>IF(OR(I20="",B20=""),"",I20-B20)</f>
        <v/>
      </c>
    </row>
    <row r="21">
      <c r="A21" s="3" t="n"/>
      <c r="B21" s="7" t="n"/>
      <c r="C21" s="3" t="n"/>
      <c r="D21" s="3" t="n"/>
      <c r="E21" s="3" t="n"/>
      <c r="F21" s="3" t="n"/>
      <c r="G21" s="3" t="n"/>
      <c r="H21" s="3" t="n"/>
      <c r="I21" s="7" t="n"/>
      <c r="J21" s="17">
        <f>IF(OR(I21="",B21=""),"",I21-B21)</f>
        <v/>
      </c>
    </row>
    <row r="22">
      <c r="A22" s="3" t="n"/>
      <c r="B22" s="7" t="n"/>
      <c r="C22" s="3" t="n"/>
      <c r="D22" s="3" t="n"/>
      <c r="E22" s="3" t="n"/>
      <c r="F22" s="3" t="n"/>
      <c r="G22" s="3" t="n"/>
      <c r="H22" s="3" t="n"/>
      <c r="I22" s="7" t="n"/>
      <c r="J22" s="17">
        <f>IF(OR(I22="",B22=""),"",I22-B22)</f>
        <v/>
      </c>
    </row>
    <row r="23">
      <c r="A23" s="3" t="n"/>
      <c r="B23" s="7" t="n"/>
      <c r="C23" s="3" t="n"/>
      <c r="D23" s="3" t="n"/>
      <c r="E23" s="3" t="n"/>
      <c r="F23" s="3" t="n"/>
      <c r="G23" s="3" t="n"/>
      <c r="H23" s="3" t="n"/>
      <c r="I23" s="7" t="n"/>
      <c r="J23" s="17">
        <f>IF(OR(I23="",B23=""),"",I23-B23)</f>
        <v/>
      </c>
    </row>
    <row r="24">
      <c r="A24" s="3" t="n"/>
      <c r="B24" s="7" t="n"/>
      <c r="C24" s="3" t="n"/>
      <c r="D24" s="3" t="n"/>
      <c r="E24" s="3" t="n"/>
      <c r="F24" s="3" t="n"/>
      <c r="G24" s="3" t="n"/>
      <c r="H24" s="3" t="n"/>
      <c r="I24" s="7" t="n"/>
      <c r="J24" s="17">
        <f>IF(OR(I24="",B24=""),"",I24-B24)</f>
        <v/>
      </c>
    </row>
    <row r="25">
      <c r="A25" s="3" t="n"/>
      <c r="B25" s="7" t="n"/>
      <c r="C25" s="3" t="n"/>
      <c r="D25" s="3" t="n"/>
      <c r="E25" s="3" t="n"/>
      <c r="F25" s="3" t="n"/>
      <c r="G25" s="3" t="n"/>
      <c r="H25" s="3" t="n"/>
      <c r="I25" s="7" t="n"/>
      <c r="J25" s="17">
        <f>IF(OR(I25="",B25=""),"",I25-B25)</f>
        <v/>
      </c>
    </row>
    <row r="26">
      <c r="A26" s="3" t="n"/>
      <c r="B26" s="7" t="n"/>
      <c r="C26" s="3" t="n"/>
      <c r="D26" s="3" t="n"/>
      <c r="E26" s="3" t="n"/>
      <c r="F26" s="3" t="n"/>
      <c r="G26" s="3" t="n"/>
      <c r="H26" s="3" t="n"/>
      <c r="I26" s="7" t="n"/>
      <c r="J26" s="17">
        <f>IF(OR(I26="",B26=""),"",I26-B26)</f>
        <v/>
      </c>
    </row>
    <row r="27">
      <c r="A27" s="3" t="n"/>
      <c r="B27" s="7" t="n"/>
      <c r="C27" s="3" t="n"/>
      <c r="D27" s="3" t="n"/>
      <c r="E27" s="3" t="n"/>
      <c r="F27" s="3" t="n"/>
      <c r="G27" s="3" t="n"/>
      <c r="H27" s="3" t="n"/>
      <c r="I27" s="7" t="n"/>
      <c r="J27" s="17">
        <f>IF(OR(I27="",B27=""),"",I27-B27)</f>
        <v/>
      </c>
    </row>
    <row r="28">
      <c r="A28" s="3" t="n"/>
      <c r="B28" s="7" t="n"/>
      <c r="C28" s="3" t="n"/>
      <c r="D28" s="3" t="n"/>
      <c r="E28" s="3" t="n"/>
      <c r="F28" s="3" t="n"/>
      <c r="G28" s="3" t="n"/>
      <c r="H28" s="3" t="n"/>
      <c r="I28" s="7" t="n"/>
      <c r="J28" s="17">
        <f>IF(OR(I28="",B28=""),"",I28-B28)</f>
        <v/>
      </c>
    </row>
    <row r="29">
      <c r="A29" s="3" t="n"/>
      <c r="B29" s="7" t="n"/>
      <c r="C29" s="3" t="n"/>
      <c r="D29" s="3" t="n"/>
      <c r="E29" s="3" t="n"/>
      <c r="F29" s="3" t="n"/>
      <c r="G29" s="3" t="n"/>
      <c r="H29" s="3" t="n"/>
      <c r="I29" s="7" t="n"/>
      <c r="J29" s="17">
        <f>IF(OR(I29="",B29=""),"",I29-B29)</f>
        <v/>
      </c>
    </row>
    <row r="30">
      <c r="A30" s="3" t="n"/>
      <c r="B30" s="7" t="n"/>
      <c r="C30" s="3" t="n"/>
      <c r="D30" s="3" t="n"/>
      <c r="E30" s="3" t="n"/>
      <c r="F30" s="3" t="n"/>
      <c r="G30" s="3" t="n"/>
      <c r="H30" s="3" t="n"/>
      <c r="I30" s="7" t="n"/>
      <c r="J30" s="17">
        <f>IF(OR(I30="",B30=""),"",I30-B30)</f>
        <v/>
      </c>
    </row>
    <row r="31">
      <c r="A31" s="3" t="n"/>
      <c r="B31" s="7" t="n"/>
      <c r="C31" s="3" t="n"/>
      <c r="D31" s="3" t="n"/>
      <c r="E31" s="3" t="n"/>
      <c r="F31" s="3" t="n"/>
      <c r="G31" s="3" t="n"/>
      <c r="H31" s="3" t="n"/>
      <c r="I31" s="7" t="n"/>
      <c r="J31" s="17">
        <f>IF(OR(I31="",B31=""),"",I31-B31)</f>
        <v/>
      </c>
    </row>
    <row r="32">
      <c r="A32" s="3" t="n"/>
      <c r="B32" s="7" t="n"/>
      <c r="C32" s="3" t="n"/>
      <c r="D32" s="3" t="n"/>
      <c r="E32" s="3" t="n"/>
      <c r="F32" s="3" t="n"/>
      <c r="G32" s="3" t="n"/>
      <c r="H32" s="3" t="n"/>
      <c r="I32" s="7" t="n"/>
      <c r="J32" s="17">
        <f>IF(OR(I32="",B32=""),"",I32-B32)</f>
        <v/>
      </c>
    </row>
    <row r="33">
      <c r="A33" s="3" t="n"/>
      <c r="B33" s="7" t="n"/>
      <c r="C33" s="3" t="n"/>
      <c r="D33" s="3" t="n"/>
      <c r="E33" s="3" t="n"/>
      <c r="F33" s="3" t="n"/>
      <c r="G33" s="3" t="n"/>
      <c r="H33" s="3" t="n"/>
      <c r="I33" s="7" t="n"/>
      <c r="J33" s="17">
        <f>IF(OR(I33="",B33=""),"",I33-B33)</f>
        <v/>
      </c>
    </row>
    <row r="34">
      <c r="A34" s="3" t="n"/>
      <c r="B34" s="7" t="n"/>
      <c r="C34" s="3" t="n"/>
      <c r="D34" s="3" t="n"/>
      <c r="E34" s="3" t="n"/>
      <c r="F34" s="3" t="n"/>
      <c r="G34" s="3" t="n"/>
      <c r="H34" s="3" t="n"/>
      <c r="I34" s="7" t="n"/>
      <c r="J34" s="17">
        <f>IF(OR(I34="",B34=""),"",I34-B34)</f>
        <v/>
      </c>
    </row>
    <row r="35">
      <c r="A35" s="3" t="n"/>
      <c r="B35" s="7" t="n"/>
      <c r="C35" s="3" t="n"/>
      <c r="D35" s="3" t="n"/>
      <c r="E35" s="3" t="n"/>
      <c r="F35" s="3" t="n"/>
      <c r="G35" s="3" t="n"/>
      <c r="H35" s="3" t="n"/>
      <c r="I35" s="7" t="n"/>
      <c r="J35" s="17">
        <f>IF(OR(I35="",B35=""),"",I35-B35)</f>
        <v/>
      </c>
    </row>
    <row r="36">
      <c r="A36" s="3" t="n"/>
      <c r="B36" s="7" t="n"/>
      <c r="C36" s="3" t="n"/>
      <c r="D36" s="3" t="n"/>
      <c r="E36" s="3" t="n"/>
      <c r="F36" s="3" t="n"/>
      <c r="G36" s="3" t="n"/>
      <c r="H36" s="3" t="n"/>
      <c r="I36" s="7" t="n"/>
      <c r="J36" s="17">
        <f>IF(OR(I36="",B36=""),"",I36-B36)</f>
        <v/>
      </c>
    </row>
    <row r="37">
      <c r="A37" s="3" t="n"/>
      <c r="B37" s="7" t="n"/>
      <c r="C37" s="3" t="n"/>
      <c r="D37" s="3" t="n"/>
      <c r="E37" s="3" t="n"/>
      <c r="F37" s="3" t="n"/>
      <c r="G37" s="3" t="n"/>
      <c r="H37" s="3" t="n"/>
      <c r="I37" s="7" t="n"/>
      <c r="J37" s="17">
        <f>IF(OR(I37="",B37=""),"",I37-B37)</f>
        <v/>
      </c>
    </row>
    <row r="38">
      <c r="A38" s="3" t="n"/>
      <c r="B38" s="7" t="n"/>
      <c r="C38" s="3" t="n"/>
      <c r="D38" s="3" t="n"/>
      <c r="E38" s="3" t="n"/>
      <c r="F38" s="3" t="n"/>
      <c r="G38" s="3" t="n"/>
      <c r="H38" s="3" t="n"/>
      <c r="I38" s="7" t="n"/>
      <c r="J38" s="17">
        <f>IF(OR(I38="",B38=""),"",I38-B38)</f>
        <v/>
      </c>
    </row>
    <row r="39">
      <c r="A39" s="3" t="n"/>
      <c r="B39" s="7" t="n"/>
      <c r="C39" s="3" t="n"/>
      <c r="D39" s="3" t="n"/>
      <c r="E39" s="3" t="n"/>
      <c r="F39" s="3" t="n"/>
      <c r="G39" s="3" t="n"/>
      <c r="H39" s="3" t="n"/>
      <c r="I39" s="7" t="n"/>
      <c r="J39" s="17">
        <f>IF(OR(I39="",B39=""),"",I39-B39)</f>
        <v/>
      </c>
    </row>
    <row r="40">
      <c r="A40" s="3" t="n"/>
      <c r="B40" s="7" t="n"/>
      <c r="C40" s="3" t="n"/>
      <c r="D40" s="3" t="n"/>
      <c r="E40" s="3" t="n"/>
      <c r="F40" s="3" t="n"/>
      <c r="G40" s="3" t="n"/>
      <c r="H40" s="3" t="n"/>
      <c r="I40" s="7" t="n"/>
      <c r="J40" s="17">
        <f>IF(OR(I40="",B40=""),"",I40-B40)</f>
        <v/>
      </c>
    </row>
    <row r="41">
      <c r="A41" s="3" t="n"/>
      <c r="B41" s="7" t="n"/>
      <c r="C41" s="3" t="n"/>
      <c r="D41" s="3" t="n"/>
      <c r="E41" s="3" t="n"/>
      <c r="F41" s="3" t="n"/>
      <c r="G41" s="3" t="n"/>
      <c r="H41" s="3" t="n"/>
      <c r="I41" s="7" t="n"/>
      <c r="J41" s="17">
        <f>IF(OR(I41="",B41=""),"",I41-B41)</f>
        <v/>
      </c>
    </row>
    <row r="42">
      <c r="A42" s="3" t="n"/>
      <c r="B42" s="7" t="n"/>
      <c r="C42" s="3" t="n"/>
      <c r="D42" s="3" t="n"/>
      <c r="E42" s="3" t="n"/>
      <c r="F42" s="3" t="n"/>
      <c r="G42" s="3" t="n"/>
      <c r="H42" s="3" t="n"/>
      <c r="I42" s="7" t="n"/>
      <c r="J42" s="17">
        <f>IF(OR(I42="",B42=""),"",I42-B42)</f>
        <v/>
      </c>
    </row>
    <row r="43">
      <c r="A43" s="3" t="n"/>
      <c r="B43" s="7" t="n"/>
      <c r="C43" s="3" t="n"/>
      <c r="D43" s="3" t="n"/>
      <c r="E43" s="3" t="n"/>
      <c r="F43" s="3" t="n"/>
      <c r="G43" s="3" t="n"/>
      <c r="H43" s="3" t="n"/>
      <c r="I43" s="7" t="n"/>
      <c r="J43" s="17">
        <f>IF(OR(I43="",B43=""),"",I43-B43)</f>
        <v/>
      </c>
    </row>
    <row r="44">
      <c r="A44" s="3" t="n"/>
      <c r="B44" s="7" t="n"/>
      <c r="C44" s="3" t="n"/>
      <c r="D44" s="3" t="n"/>
      <c r="E44" s="3" t="n"/>
      <c r="F44" s="3" t="n"/>
      <c r="G44" s="3" t="n"/>
      <c r="H44" s="3" t="n"/>
      <c r="I44" s="7" t="n"/>
      <c r="J44" s="17">
        <f>IF(OR(I44="",B44=""),"",I44-B44)</f>
        <v/>
      </c>
    </row>
    <row r="45">
      <c r="A45" s="3" t="n"/>
      <c r="B45" s="7" t="n"/>
      <c r="C45" s="3" t="n"/>
      <c r="D45" s="3" t="n"/>
      <c r="E45" s="3" t="n"/>
      <c r="F45" s="3" t="n"/>
      <c r="G45" s="3" t="n"/>
      <c r="H45" s="3" t="n"/>
      <c r="I45" s="7" t="n"/>
      <c r="J45" s="17">
        <f>IF(OR(I45="",B45=""),"",I45-B45)</f>
        <v/>
      </c>
    </row>
    <row r="46">
      <c r="A46" s="3" t="n"/>
      <c r="B46" s="7" t="n"/>
      <c r="C46" s="3" t="n"/>
      <c r="D46" s="3" t="n"/>
      <c r="E46" s="3" t="n"/>
      <c r="F46" s="3" t="n"/>
      <c r="G46" s="3" t="n"/>
      <c r="H46" s="3" t="n"/>
      <c r="I46" s="7" t="n"/>
      <c r="J46" s="17">
        <f>IF(OR(I46="",B46=""),"",I46-B46)</f>
        <v/>
      </c>
    </row>
    <row r="47">
      <c r="A47" s="3" t="n"/>
      <c r="B47" s="7" t="n"/>
      <c r="C47" s="3" t="n"/>
      <c r="D47" s="3" t="n"/>
      <c r="E47" s="3" t="n"/>
      <c r="F47" s="3" t="n"/>
      <c r="G47" s="3" t="n"/>
      <c r="H47" s="3" t="n"/>
      <c r="I47" s="7" t="n"/>
      <c r="J47" s="17">
        <f>IF(OR(I47="",B47=""),"",I47-B47)</f>
        <v/>
      </c>
    </row>
    <row r="48">
      <c r="A48" s="3" t="n"/>
      <c r="B48" s="7" t="n"/>
      <c r="C48" s="3" t="n"/>
      <c r="D48" s="3" t="n"/>
      <c r="E48" s="3" t="n"/>
      <c r="F48" s="3" t="n"/>
      <c r="G48" s="3" t="n"/>
      <c r="H48" s="3" t="n"/>
      <c r="I48" s="7" t="n"/>
      <c r="J48" s="17">
        <f>IF(OR(I48="",B48=""),"",I48-B48)</f>
        <v/>
      </c>
    </row>
    <row r="49">
      <c r="A49" s="3" t="n"/>
      <c r="B49" s="7" t="n"/>
      <c r="C49" s="3" t="n"/>
      <c r="D49" s="3" t="n"/>
      <c r="E49" s="3" t="n"/>
      <c r="F49" s="3" t="n"/>
      <c r="G49" s="3" t="n"/>
      <c r="H49" s="3" t="n"/>
      <c r="I49" s="7" t="n"/>
      <c r="J49" s="17">
        <f>IF(OR(I49="",B49=""),"",I49-B49)</f>
        <v/>
      </c>
    </row>
    <row r="50">
      <c r="A50" s="3" t="n"/>
      <c r="B50" s="7" t="n"/>
      <c r="C50" s="3" t="n"/>
      <c r="D50" s="3" t="n"/>
      <c r="E50" s="3" t="n"/>
      <c r="F50" s="3" t="n"/>
      <c r="G50" s="3" t="n"/>
      <c r="H50" s="3" t="n"/>
      <c r="I50" s="7" t="n"/>
      <c r="J50" s="17">
        <f>IF(OR(I50="",B50=""),"",I50-B50)</f>
        <v/>
      </c>
    </row>
    <row r="51">
      <c r="A51" s="3" t="n"/>
      <c r="B51" s="7" t="n"/>
      <c r="C51" s="3" t="n"/>
      <c r="D51" s="3" t="n"/>
      <c r="E51" s="3" t="n"/>
      <c r="F51" s="3" t="n"/>
      <c r="G51" s="3" t="n"/>
      <c r="H51" s="3" t="n"/>
      <c r="I51" s="7" t="n"/>
      <c r="J51" s="17">
        <f>IF(OR(I51="",B51=""),"",I51-B51)</f>
        <v/>
      </c>
    </row>
  </sheetData>
  <conditionalFormatting sqref="A12:J51">
    <cfRule type="expression" priority="1" dxfId="0">
      <formula>AND(ISNUMBER($I12),ISNUMBER($B12),$I12&gt;$B12)</formula>
    </cfRule>
  </conditionalFormatting>
  <dataValidations count="2">
    <dataValidation sqref="D12:D51" showDropDown="0" showInputMessage="0" showErrorMessage="0" allowBlank="1" type="list">
      <formula1>"U,E,K,U+E,U+K,E+K,None: choose again"</formula1>
    </dataValidation>
    <dataValidation sqref="E12:H51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1" customWidth="1" min="3" max="3"/>
    <col width="7" customWidth="1" min="4" max="4"/>
    <col width="7" customWidth="1" min="5" max="5"/>
    <col width="16" customWidth="1" min="6" max="6"/>
  </cols>
  <sheetData>
    <row r="1">
      <c r="A1" s="1" t="inlineStr">
        <is>
          <t>Staff &amp; Service First</t>
        </is>
      </c>
    </row>
    <row r="2">
      <c r="A2" s="2" t="inlineStr">
        <is>
          <t>Typical guidance (Emily Post Institute), not law. Only the USPS line is a rule. Done by 15 December.</t>
        </is>
      </c>
    </row>
    <row r="3">
      <c r="A3" t="inlineStr">
        <is>
          <t>Days left until 15 December:</t>
        </is>
      </c>
      <c r="C3" s="8">
        <f>MAX(0,DATE(YEAR(TODAY()),12,15)-TODAY())</f>
        <v/>
      </c>
    </row>
    <row r="4">
      <c r="A4" s="13" t="inlineStr">
        <is>
          <t>Who</t>
        </is>
      </c>
      <c r="B4" s="13" t="inlineStr">
        <is>
          <t>Typical guidance</t>
        </is>
      </c>
      <c r="C4" s="13" t="inlineStr">
        <is>
          <t>My sum $</t>
        </is>
      </c>
      <c r="D4" s="13" t="inlineStr">
        <is>
          <t>Card</t>
        </is>
      </c>
      <c r="E4" s="13" t="inlineStr">
        <is>
          <t>Given</t>
        </is>
      </c>
      <c r="F4" s="13" t="inlineStr">
        <is>
          <t>Date given</t>
        </is>
      </c>
    </row>
    <row r="5">
      <c r="A5" s="3" t="inlineStr">
        <is>
          <t>Cleaner or housekeeper</t>
        </is>
      </c>
      <c r="B5" s="14" t="inlineStr">
        <is>
          <t>Up to one week's pay</t>
        </is>
      </c>
      <c r="C5" s="7" t="n"/>
      <c r="D5" s="3" t="n"/>
      <c r="E5" s="3" t="n"/>
      <c r="F5" s="4" t="n"/>
    </row>
    <row r="6">
      <c r="A6" s="3" t="inlineStr">
        <is>
          <t>Regular sitter or nanny</t>
        </is>
      </c>
      <c r="B6" s="14" t="inlineStr">
        <is>
          <t>Up to one week's pay, plus a small gift from the children</t>
        </is>
      </c>
      <c r="C6" s="7" t="n"/>
      <c r="D6" s="3" t="n"/>
      <c r="E6" s="3" t="n"/>
      <c r="F6" s="4" t="n"/>
    </row>
    <row r="7">
      <c r="A7" s="3" t="inlineStr">
        <is>
          <t>Dog walker</t>
        </is>
      </c>
      <c r="B7" s="14" t="inlineStr">
        <is>
          <t>Up to one week's pay</t>
        </is>
      </c>
      <c r="C7" s="7" t="n"/>
      <c r="D7" s="3" t="n"/>
      <c r="E7" s="3" t="n"/>
      <c r="F7" s="4" t="n"/>
    </row>
    <row r="8">
      <c r="A8" s="3" t="inlineStr">
        <is>
          <t>Hairdresser or barber</t>
        </is>
      </c>
      <c r="B8" s="14" t="inlineStr">
        <is>
          <t>The cost of one visit</t>
        </is>
      </c>
      <c r="C8" s="7" t="n"/>
      <c r="D8" s="3" t="n"/>
      <c r="E8" s="3" t="n"/>
      <c r="F8" s="4" t="n"/>
    </row>
    <row r="9">
      <c r="A9" s="3" t="inlineStr">
        <is>
          <t>Teacher</t>
        </is>
      </c>
      <c r="B9" s="14" t="inlineStr">
        <is>
          <t>A gift, not cash (check the school's policy)</t>
        </is>
      </c>
      <c r="C9" s="7" t="n"/>
      <c r="D9" s="3" t="n"/>
      <c r="E9" s="3" t="n"/>
      <c r="F9" s="4" t="n"/>
    </row>
    <row r="10">
      <c r="A10" s="3" t="inlineStr">
        <is>
          <t>US mail carrier</t>
        </is>
      </c>
      <c r="B10" s="14" t="inlineStr">
        <is>
          <t>USPS rule: a non-cash gift worth $20 or less; never cash or cash-like gift cards</t>
        </is>
      </c>
      <c r="C10" s="7" t="n"/>
      <c r="D10" s="3" t="n"/>
      <c r="E10" s="3" t="n"/>
      <c r="F10" s="4" t="n"/>
    </row>
    <row r="11">
      <c r="A11" s="3" t="inlineStr">
        <is>
          <t>Doorman or building super</t>
        </is>
      </c>
      <c r="B11" s="14" t="inlineStr">
        <is>
          <t>$25–$100+, by city and effort</t>
        </is>
      </c>
      <c r="C11" s="7" t="n"/>
      <c r="D11" s="3" t="n"/>
      <c r="E11" s="3" t="n"/>
      <c r="F11" s="4" t="n"/>
    </row>
    <row r="12">
      <c r="A12" s="3" t="inlineStr">
        <is>
          <t>Bin (trash) collectors</t>
        </is>
      </c>
      <c r="B12" s="14" t="inlineStr">
        <is>
          <t>$10–$30 each, where allowed</t>
        </is>
      </c>
      <c r="C12" s="7" t="n"/>
      <c r="D12" s="3" t="n"/>
      <c r="E12" s="3" t="n"/>
      <c r="F12" s="4" t="n"/>
    </row>
    <row r="13">
      <c r="A13" s="3" t="inlineStr">
        <is>
          <t>Regular delivery driver</t>
        </is>
      </c>
      <c r="B13" s="14" t="inlineStr">
        <is>
          <t>Snacks or a small gift</t>
        </is>
      </c>
      <c r="C13" s="7" t="n"/>
      <c r="D13" s="3" t="n"/>
      <c r="E13" s="3" t="n"/>
      <c r="F13" s="4" t="n"/>
    </row>
    <row r="14">
      <c r="A14" s="3" t="inlineStr">
        <is>
          <t>Carer for a relative</t>
        </is>
      </c>
      <c r="B14" s="14" t="inlineStr">
        <is>
          <t>A card and a gift; check the agency's policy</t>
        </is>
      </c>
      <c r="C14" s="7" t="n"/>
      <c r="D14" s="3" t="n"/>
      <c r="E14" s="3" t="n"/>
      <c r="F14" s="4" t="n"/>
    </row>
    <row r="15">
      <c r="A15" s="3" t="n"/>
      <c r="B15" s="14" t="n"/>
      <c r="C15" s="7" t="n"/>
      <c r="D15" s="3" t="n"/>
      <c r="E15" s="3" t="n"/>
      <c r="F15" s="4" t="n"/>
    </row>
    <row r="16">
      <c r="A16" s="3" t="n"/>
      <c r="B16" s="14" t="n"/>
      <c r="C16" s="7" t="n"/>
      <c r="D16" s="3" t="n"/>
      <c r="E16" s="3" t="n"/>
      <c r="F16" s="4" t="n"/>
    </row>
    <row r="17">
      <c r="A17" t="inlineStr">
        <is>
          <t>Total planned</t>
        </is>
      </c>
      <c r="C17" s="9">
        <f>SUM(C5:C16)</f>
        <v/>
      </c>
    </row>
    <row r="18">
      <c r="A18" t="inlineStr">
        <is>
          <t>Total given</t>
        </is>
      </c>
      <c r="C18" s="9">
        <f>SUMIF(E5:E16,"✓",C5:C16)</f>
        <v/>
      </c>
    </row>
  </sheetData>
  <dataValidations count="1">
    <dataValidation sqref="D5:E16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26" customWidth="1" min="2" max="2"/>
  </cols>
  <sheetData>
    <row r="1">
      <c r="A1" s="1" t="inlineStr">
        <is>
          <t>The Thaw Sum (fridge thaw)</t>
        </is>
      </c>
    </row>
    <row r="2">
      <c r="A2" s="2" t="inlineStr">
        <is>
          <t>Use one guidance only. US (USDA): count back from the day, plus one spare day. UK (FSA): count back from the oven time, no spare day.</t>
        </is>
      </c>
    </row>
    <row r="4">
      <c r="A4" t="inlineStr">
        <is>
          <t>Guidance I follow (US or UK)</t>
        </is>
      </c>
      <c r="B4" s="3" t="n"/>
    </row>
    <row r="5">
      <c r="A5" t="inlineStr">
        <is>
          <t>Bird's weight, lb (US)</t>
        </is>
      </c>
      <c r="B5" s="20" t="n"/>
    </row>
    <row r="6">
      <c r="A6" t="inlineStr">
        <is>
          <t>Bird's weight, kg (UK)</t>
        </is>
      </c>
      <c r="B6" s="20" t="n"/>
    </row>
    <row r="7">
      <c r="A7" t="inlineStr">
        <is>
          <t>T-0, the day (from At a Glance)</t>
        </is>
      </c>
      <c r="B7" s="15">
        <f>'At a Glance'!B13</f>
        <v/>
      </c>
    </row>
    <row r="8">
      <c r="A8" t="inlineStr">
        <is>
          <t>UK only: the date and time it goes in the oven</t>
        </is>
      </c>
      <c r="B8" s="23" t="n"/>
    </row>
    <row r="10">
      <c r="A10" s="24" t="inlineStr">
        <is>
          <t>US (USDA): about 24 hours per 4–5 lb; a fridge-thawed bird keeps 1–2 days before cooking</t>
        </is>
      </c>
    </row>
    <row r="11">
      <c r="A11" t="inlineStr">
        <is>
          <t>Hours needed (lb ÷ 4 × 24)</t>
        </is>
      </c>
      <c r="B11" s="22">
        <f>IF(B5="","",B5/4*24)</f>
        <v/>
      </c>
    </row>
    <row r="12">
      <c r="A12" t="inlineStr">
        <is>
          <t>Days back: hours ÷ 24 rounded up, plus one spare day</t>
        </is>
      </c>
      <c r="B12" s="22">
        <f>IF(B11="","",ROUNDUP(B11/24,0)+1)</f>
        <v/>
      </c>
    </row>
    <row r="13">
      <c r="A13" s="8" t="inlineStr">
        <is>
          <t>INTO THE FRIDGE ON</t>
        </is>
      </c>
      <c r="B13" s="11">
        <f>IF(OR(B12="",B7=""),"",B7-B12)</f>
        <v/>
      </c>
    </row>
    <row r="15">
      <c r="A15" s="24" t="inlineStr">
        <is>
          <t>UK (FSA): about 10–12 hours per kg at 4°C; cook within 24 hours of fully defrosting</t>
        </is>
      </c>
    </row>
    <row r="16">
      <c r="A16" t="inlineStr">
        <is>
          <t>Hours needed (kg × 12)</t>
        </is>
      </c>
      <c r="B16" s="22">
        <f>IF(B6="","",B6*12)</f>
        <v/>
      </c>
    </row>
    <row r="17">
      <c r="A17" s="8" t="inlineStr">
        <is>
          <t>INTO THE FRIDGE AT (oven time minus those hours; no spare day)</t>
        </is>
      </c>
      <c r="B17" s="25">
        <f>IF(OR(B16="",B8=""),"",B8-B16/24)</f>
        <v/>
      </c>
    </row>
    <row r="18">
      <c r="A18" t="inlineStr">
        <is>
          <t>Earliest it could be fully defrosted (at 10 h per kg)</t>
        </is>
      </c>
      <c r="B18" s="26">
        <f>IF(B17="","",B17+B6*10/24)</f>
        <v/>
      </c>
    </row>
    <row r="19">
      <c r="A19" t="inlineStr">
        <is>
          <t>Must be cooked by (24 hours after that)</t>
        </is>
      </c>
      <c r="B19" s="26">
        <f>IF(B18="","",B18+1)</f>
        <v/>
      </c>
    </row>
    <row r="20">
      <c r="A20">
        <f>IF(AND(B6&lt;&gt;"",B6&gt;12),"Over 12 kg: at the faster rate it could be defrosted more than 24 hours before the oven time. Check the FSA's current guidance.","")</f>
        <v/>
      </c>
    </row>
    <row r="22">
      <c r="A22" s="2" t="inlineStr">
        <is>
          <t>Sources: USDA FSIS (www.fsis.usda.gov); Food Standards Agency (food.gov.uk). If this ever differs from the regulator's current page, the regulator is right.</t>
        </is>
      </c>
    </row>
  </sheetData>
  <conditionalFormatting sqref="A20">
    <cfRule type="expression" priority="1" dxfId="0">
      <formula>$A$20&lt;&gt;""</formula>
    </cfRule>
  </conditionalFormatting>
  <dataValidations count="1">
    <dataValidation sqref="B4" showDropDown="0" showInputMessage="0" showErrorMessage="0" allowBlank="1" type="list">
      <formula1>"US,UK"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1" customWidth="1" min="4" max="4"/>
    <col width="11" customWidth="1" min="5" max="5"/>
    <col width="44" customWidth="1" min="6" max="6"/>
  </cols>
  <sheetData>
    <row r="1">
      <c r="A1" s="1" t="inlineStr">
        <is>
          <t>The Oven Timetable</t>
        </is>
      </c>
    </row>
    <row r="2">
      <c r="A2" s="2" t="inlineStr">
        <is>
          <t>Two oven dishes whose times overlap are flagged; so is any guest's dish (Assignments tab) that needs the oven at the same time.</t>
        </is>
      </c>
    </row>
    <row r="4">
      <c r="A4" s="13" t="inlineStr">
        <is>
          <t>Dish</t>
        </is>
      </c>
      <c r="B4" s="13" t="inlineStr">
        <is>
          <t>Appliance</t>
        </is>
      </c>
      <c r="C4" s="13" t="inlineStr">
        <is>
          <t>Temp (°F / °C)</t>
        </is>
      </c>
      <c r="D4" s="13" t="inlineStr">
        <is>
          <t>From</t>
        </is>
      </c>
      <c r="E4" s="13" t="inlineStr">
        <is>
          <t>To</t>
        </is>
      </c>
      <c r="F4" s="13" t="inlineStr">
        <is>
          <t>Clash?</t>
        </is>
      </c>
    </row>
    <row r="5">
      <c r="A5" s="3" t="n"/>
      <c r="B5" s="3" t="n"/>
      <c r="C5" s="3" t="n"/>
      <c r="D5" s="5" t="n"/>
      <c r="E5" s="5" t="n"/>
      <c r="F5" s="19">
        <f>IF(AND(B5="Oven",D5&lt;&gt;"",E5&lt;&gt;""),IF(SUMPRODUCT(($B$5:$B$34="Oven")*($D$5:$D$34&lt;E5)*($E$5:$E$34&gt;D5))+SUMPRODUCT((Assignments!$E$5:$E$24="Oven")*(Assignments!$F$5:$F$24&lt;E5)*(Assignments!$G$5:$G$24&gt;D5))&gt;1,"Shares the oven: same temperature, and room for both?",""),"")</f>
        <v/>
      </c>
    </row>
    <row r="6">
      <c r="A6" s="3" t="n"/>
      <c r="B6" s="3" t="n"/>
      <c r="C6" s="3" t="n"/>
      <c r="D6" s="5" t="n"/>
      <c r="E6" s="5" t="n"/>
      <c r="F6" s="19">
        <f>IF(AND(B6="Oven",D6&lt;&gt;"",E6&lt;&gt;""),IF(SUMPRODUCT(($B$5:$B$34="Oven")*($D$5:$D$34&lt;E6)*($E$5:$E$34&gt;D6))+SUMPRODUCT((Assignments!$E$5:$E$24="Oven")*(Assignments!$F$5:$F$24&lt;E6)*(Assignments!$G$5:$G$24&gt;D6))&gt;1,"Shares the oven: same temperature, and room for both?",""),"")</f>
        <v/>
      </c>
    </row>
    <row r="7">
      <c r="A7" s="3" t="n"/>
      <c r="B7" s="3" t="n"/>
      <c r="C7" s="3" t="n"/>
      <c r="D7" s="5" t="n"/>
      <c r="E7" s="5" t="n"/>
      <c r="F7" s="19">
        <f>IF(AND(B7="Oven",D7&lt;&gt;"",E7&lt;&gt;""),IF(SUMPRODUCT(($B$5:$B$34="Oven")*($D$5:$D$34&lt;E7)*($E$5:$E$34&gt;D7))+SUMPRODUCT((Assignments!$E$5:$E$24="Oven")*(Assignments!$F$5:$F$24&lt;E7)*(Assignments!$G$5:$G$24&gt;D7))&gt;1,"Shares the oven: same temperature, and room for both?",""),"")</f>
        <v/>
      </c>
    </row>
    <row r="8">
      <c r="A8" s="3" t="n"/>
      <c r="B8" s="3" t="n"/>
      <c r="C8" s="3" t="n"/>
      <c r="D8" s="5" t="n"/>
      <c r="E8" s="5" t="n"/>
      <c r="F8" s="19">
        <f>IF(AND(B8="Oven",D8&lt;&gt;"",E8&lt;&gt;""),IF(SUMPRODUCT(($B$5:$B$34="Oven")*($D$5:$D$34&lt;E8)*($E$5:$E$34&gt;D8))+SUMPRODUCT((Assignments!$E$5:$E$24="Oven")*(Assignments!$F$5:$F$24&lt;E8)*(Assignments!$G$5:$G$24&gt;D8))&gt;1,"Shares the oven: same temperature, and room for both?",""),"")</f>
        <v/>
      </c>
    </row>
    <row r="9">
      <c r="A9" s="3" t="n"/>
      <c r="B9" s="3" t="n"/>
      <c r="C9" s="3" t="n"/>
      <c r="D9" s="5" t="n"/>
      <c r="E9" s="5" t="n"/>
      <c r="F9" s="19">
        <f>IF(AND(B9="Oven",D9&lt;&gt;"",E9&lt;&gt;""),IF(SUMPRODUCT(($B$5:$B$34="Oven")*($D$5:$D$34&lt;E9)*($E$5:$E$34&gt;D9))+SUMPRODUCT((Assignments!$E$5:$E$24="Oven")*(Assignments!$F$5:$F$24&lt;E9)*(Assignments!$G$5:$G$24&gt;D9))&gt;1,"Shares the oven: same temperature, and room for both?",""),"")</f>
        <v/>
      </c>
    </row>
    <row r="10">
      <c r="A10" s="3" t="n"/>
      <c r="B10" s="3" t="n"/>
      <c r="C10" s="3" t="n"/>
      <c r="D10" s="5" t="n"/>
      <c r="E10" s="5" t="n"/>
      <c r="F10" s="19">
        <f>IF(AND(B10="Oven",D10&lt;&gt;"",E10&lt;&gt;""),IF(SUMPRODUCT(($B$5:$B$34="Oven")*($D$5:$D$34&lt;E10)*($E$5:$E$34&gt;D10))+SUMPRODUCT((Assignments!$E$5:$E$24="Oven")*(Assignments!$F$5:$F$24&lt;E10)*(Assignments!$G$5:$G$24&gt;D10))&gt;1,"Shares the oven: same temperature, and room for both?",""),"")</f>
        <v/>
      </c>
    </row>
    <row r="11">
      <c r="A11" s="3" t="n"/>
      <c r="B11" s="3" t="n"/>
      <c r="C11" s="3" t="n"/>
      <c r="D11" s="5" t="n"/>
      <c r="E11" s="5" t="n"/>
      <c r="F11" s="19">
        <f>IF(AND(B11="Oven",D11&lt;&gt;"",E11&lt;&gt;""),IF(SUMPRODUCT(($B$5:$B$34="Oven")*($D$5:$D$34&lt;E11)*($E$5:$E$34&gt;D11))+SUMPRODUCT((Assignments!$E$5:$E$24="Oven")*(Assignments!$F$5:$F$24&lt;E11)*(Assignments!$G$5:$G$24&gt;D11))&gt;1,"Shares the oven: same temperature, and room for both?",""),"")</f>
        <v/>
      </c>
    </row>
    <row r="12">
      <c r="A12" s="3" t="n"/>
      <c r="B12" s="3" t="n"/>
      <c r="C12" s="3" t="n"/>
      <c r="D12" s="5" t="n"/>
      <c r="E12" s="5" t="n"/>
      <c r="F12" s="19">
        <f>IF(AND(B12="Oven",D12&lt;&gt;"",E12&lt;&gt;""),IF(SUMPRODUCT(($B$5:$B$34="Oven")*($D$5:$D$34&lt;E12)*($E$5:$E$34&gt;D12))+SUMPRODUCT((Assignments!$E$5:$E$24="Oven")*(Assignments!$F$5:$F$24&lt;E12)*(Assignments!$G$5:$G$24&gt;D12))&gt;1,"Shares the oven: same temperature, and room for both?",""),"")</f>
        <v/>
      </c>
    </row>
    <row r="13">
      <c r="A13" s="3" t="n"/>
      <c r="B13" s="3" t="n"/>
      <c r="C13" s="3" t="n"/>
      <c r="D13" s="5" t="n"/>
      <c r="E13" s="5" t="n"/>
      <c r="F13" s="19">
        <f>IF(AND(B13="Oven",D13&lt;&gt;"",E13&lt;&gt;""),IF(SUMPRODUCT(($B$5:$B$34="Oven")*($D$5:$D$34&lt;E13)*($E$5:$E$34&gt;D13))+SUMPRODUCT((Assignments!$E$5:$E$24="Oven")*(Assignments!$F$5:$F$24&lt;E13)*(Assignments!$G$5:$G$24&gt;D13))&gt;1,"Shares the oven: same temperature, and room for both?",""),"")</f>
        <v/>
      </c>
    </row>
    <row r="14">
      <c r="A14" s="3" t="n"/>
      <c r="B14" s="3" t="n"/>
      <c r="C14" s="3" t="n"/>
      <c r="D14" s="5" t="n"/>
      <c r="E14" s="5" t="n"/>
      <c r="F14" s="19">
        <f>IF(AND(B14="Oven",D14&lt;&gt;"",E14&lt;&gt;""),IF(SUMPRODUCT(($B$5:$B$34="Oven")*($D$5:$D$34&lt;E14)*($E$5:$E$34&gt;D14))+SUMPRODUCT((Assignments!$E$5:$E$24="Oven")*(Assignments!$F$5:$F$24&lt;E14)*(Assignments!$G$5:$G$24&gt;D14))&gt;1,"Shares the oven: same temperature, and room for both?",""),"")</f>
        <v/>
      </c>
    </row>
    <row r="15">
      <c r="A15" s="3" t="n"/>
      <c r="B15" s="3" t="n"/>
      <c r="C15" s="3" t="n"/>
      <c r="D15" s="5" t="n"/>
      <c r="E15" s="5" t="n"/>
      <c r="F15" s="19">
        <f>IF(AND(B15="Oven",D15&lt;&gt;"",E15&lt;&gt;""),IF(SUMPRODUCT(($B$5:$B$34="Oven")*($D$5:$D$34&lt;E15)*($E$5:$E$34&gt;D15))+SUMPRODUCT((Assignments!$E$5:$E$24="Oven")*(Assignments!$F$5:$F$24&lt;E15)*(Assignments!$G$5:$G$24&gt;D15))&gt;1,"Shares the oven: same temperature, and room for both?",""),"")</f>
        <v/>
      </c>
    </row>
    <row r="16">
      <c r="A16" s="3" t="n"/>
      <c r="B16" s="3" t="n"/>
      <c r="C16" s="3" t="n"/>
      <c r="D16" s="5" t="n"/>
      <c r="E16" s="5" t="n"/>
      <c r="F16" s="19">
        <f>IF(AND(B16="Oven",D16&lt;&gt;"",E16&lt;&gt;""),IF(SUMPRODUCT(($B$5:$B$34="Oven")*($D$5:$D$34&lt;E16)*($E$5:$E$34&gt;D16))+SUMPRODUCT((Assignments!$E$5:$E$24="Oven")*(Assignments!$F$5:$F$24&lt;E16)*(Assignments!$G$5:$G$24&gt;D16))&gt;1,"Shares the oven: same temperature, and room for both?",""),"")</f>
        <v/>
      </c>
    </row>
    <row r="17">
      <c r="A17" s="3" t="n"/>
      <c r="B17" s="3" t="n"/>
      <c r="C17" s="3" t="n"/>
      <c r="D17" s="5" t="n"/>
      <c r="E17" s="5" t="n"/>
      <c r="F17" s="19">
        <f>IF(AND(B17="Oven",D17&lt;&gt;"",E17&lt;&gt;""),IF(SUMPRODUCT(($B$5:$B$34="Oven")*($D$5:$D$34&lt;E17)*($E$5:$E$34&gt;D17))+SUMPRODUCT((Assignments!$E$5:$E$24="Oven")*(Assignments!$F$5:$F$24&lt;E17)*(Assignments!$G$5:$G$24&gt;D17))&gt;1,"Shares the oven: same temperature, and room for both?",""),"")</f>
        <v/>
      </c>
    </row>
    <row r="18">
      <c r="A18" s="3" t="n"/>
      <c r="B18" s="3" t="n"/>
      <c r="C18" s="3" t="n"/>
      <c r="D18" s="5" t="n"/>
      <c r="E18" s="5" t="n"/>
      <c r="F18" s="19">
        <f>IF(AND(B18="Oven",D18&lt;&gt;"",E18&lt;&gt;""),IF(SUMPRODUCT(($B$5:$B$34="Oven")*($D$5:$D$34&lt;E18)*($E$5:$E$34&gt;D18))+SUMPRODUCT((Assignments!$E$5:$E$24="Oven")*(Assignments!$F$5:$F$24&lt;E18)*(Assignments!$G$5:$G$24&gt;D18))&gt;1,"Shares the oven: same temperature, and room for both?",""),"")</f>
        <v/>
      </c>
    </row>
    <row r="19">
      <c r="A19" s="3" t="n"/>
      <c r="B19" s="3" t="n"/>
      <c r="C19" s="3" t="n"/>
      <c r="D19" s="5" t="n"/>
      <c r="E19" s="5" t="n"/>
      <c r="F19" s="19">
        <f>IF(AND(B19="Oven",D19&lt;&gt;"",E19&lt;&gt;""),IF(SUMPRODUCT(($B$5:$B$34="Oven")*($D$5:$D$34&lt;E19)*($E$5:$E$34&gt;D19))+SUMPRODUCT((Assignments!$E$5:$E$24="Oven")*(Assignments!$F$5:$F$24&lt;E19)*(Assignments!$G$5:$G$24&gt;D19))&gt;1,"Shares the oven: same temperature, and room for both?",""),"")</f>
        <v/>
      </c>
    </row>
    <row r="20">
      <c r="A20" s="3" t="n"/>
      <c r="B20" s="3" t="n"/>
      <c r="C20" s="3" t="n"/>
      <c r="D20" s="5" t="n"/>
      <c r="E20" s="5" t="n"/>
      <c r="F20" s="19">
        <f>IF(AND(B20="Oven",D20&lt;&gt;"",E20&lt;&gt;""),IF(SUMPRODUCT(($B$5:$B$34="Oven")*($D$5:$D$34&lt;E20)*($E$5:$E$34&gt;D20))+SUMPRODUCT((Assignments!$E$5:$E$24="Oven")*(Assignments!$F$5:$F$24&lt;E20)*(Assignments!$G$5:$G$24&gt;D20))&gt;1,"Shares the oven: same temperature, and room for both?",""),"")</f>
        <v/>
      </c>
    </row>
    <row r="21">
      <c r="A21" s="3" t="n"/>
      <c r="B21" s="3" t="n"/>
      <c r="C21" s="3" t="n"/>
      <c r="D21" s="5" t="n"/>
      <c r="E21" s="5" t="n"/>
      <c r="F21" s="19">
        <f>IF(AND(B21="Oven",D21&lt;&gt;"",E21&lt;&gt;""),IF(SUMPRODUCT(($B$5:$B$34="Oven")*($D$5:$D$34&lt;E21)*($E$5:$E$34&gt;D21))+SUMPRODUCT((Assignments!$E$5:$E$24="Oven")*(Assignments!$F$5:$F$24&lt;E21)*(Assignments!$G$5:$G$24&gt;D21))&gt;1,"Shares the oven: same temperature, and room for both?",""),"")</f>
        <v/>
      </c>
    </row>
    <row r="22">
      <c r="A22" s="3" t="n"/>
      <c r="B22" s="3" t="n"/>
      <c r="C22" s="3" t="n"/>
      <c r="D22" s="5" t="n"/>
      <c r="E22" s="5" t="n"/>
      <c r="F22" s="19">
        <f>IF(AND(B22="Oven",D22&lt;&gt;"",E22&lt;&gt;""),IF(SUMPRODUCT(($B$5:$B$34="Oven")*($D$5:$D$34&lt;E22)*($E$5:$E$34&gt;D22))+SUMPRODUCT((Assignments!$E$5:$E$24="Oven")*(Assignments!$F$5:$F$24&lt;E22)*(Assignments!$G$5:$G$24&gt;D22))&gt;1,"Shares the oven: same temperature, and room for both?",""),"")</f>
        <v/>
      </c>
    </row>
    <row r="23">
      <c r="A23" s="3" t="n"/>
      <c r="B23" s="3" t="n"/>
      <c r="C23" s="3" t="n"/>
      <c r="D23" s="5" t="n"/>
      <c r="E23" s="5" t="n"/>
      <c r="F23" s="19">
        <f>IF(AND(B23="Oven",D23&lt;&gt;"",E23&lt;&gt;""),IF(SUMPRODUCT(($B$5:$B$34="Oven")*($D$5:$D$34&lt;E23)*($E$5:$E$34&gt;D23))+SUMPRODUCT((Assignments!$E$5:$E$24="Oven")*(Assignments!$F$5:$F$24&lt;E23)*(Assignments!$G$5:$G$24&gt;D23))&gt;1,"Shares the oven: same temperature, and room for both?",""),"")</f>
        <v/>
      </c>
    </row>
    <row r="24">
      <c r="A24" s="3" t="n"/>
      <c r="B24" s="3" t="n"/>
      <c r="C24" s="3" t="n"/>
      <c r="D24" s="5" t="n"/>
      <c r="E24" s="5" t="n"/>
      <c r="F24" s="19">
        <f>IF(AND(B24="Oven",D24&lt;&gt;"",E24&lt;&gt;""),IF(SUMPRODUCT(($B$5:$B$34="Oven")*($D$5:$D$34&lt;E24)*($E$5:$E$34&gt;D24))+SUMPRODUCT((Assignments!$E$5:$E$24="Oven")*(Assignments!$F$5:$F$24&lt;E24)*(Assignments!$G$5:$G$24&gt;D24))&gt;1,"Shares the oven: same temperature, and room for both?",""),"")</f>
        <v/>
      </c>
    </row>
    <row r="25">
      <c r="A25" s="3" t="n"/>
      <c r="B25" s="3" t="n"/>
      <c r="C25" s="3" t="n"/>
      <c r="D25" s="5" t="n"/>
      <c r="E25" s="5" t="n"/>
      <c r="F25" s="19">
        <f>IF(AND(B25="Oven",D25&lt;&gt;"",E25&lt;&gt;""),IF(SUMPRODUCT(($B$5:$B$34="Oven")*($D$5:$D$34&lt;E25)*($E$5:$E$34&gt;D25))+SUMPRODUCT((Assignments!$E$5:$E$24="Oven")*(Assignments!$F$5:$F$24&lt;E25)*(Assignments!$G$5:$G$24&gt;D25))&gt;1,"Shares the oven: same temperature, and room for both?",""),"")</f>
        <v/>
      </c>
    </row>
    <row r="26">
      <c r="A26" s="3" t="n"/>
      <c r="B26" s="3" t="n"/>
      <c r="C26" s="3" t="n"/>
      <c r="D26" s="5" t="n"/>
      <c r="E26" s="5" t="n"/>
      <c r="F26" s="19">
        <f>IF(AND(B26="Oven",D26&lt;&gt;"",E26&lt;&gt;""),IF(SUMPRODUCT(($B$5:$B$34="Oven")*($D$5:$D$34&lt;E26)*($E$5:$E$34&gt;D26))+SUMPRODUCT((Assignments!$E$5:$E$24="Oven")*(Assignments!$F$5:$F$24&lt;E26)*(Assignments!$G$5:$G$24&gt;D26))&gt;1,"Shares the oven: same temperature, and room for both?",""),"")</f>
        <v/>
      </c>
    </row>
    <row r="27">
      <c r="A27" s="3" t="n"/>
      <c r="B27" s="3" t="n"/>
      <c r="C27" s="3" t="n"/>
      <c r="D27" s="5" t="n"/>
      <c r="E27" s="5" t="n"/>
      <c r="F27" s="19">
        <f>IF(AND(B27="Oven",D27&lt;&gt;"",E27&lt;&gt;""),IF(SUMPRODUCT(($B$5:$B$34="Oven")*($D$5:$D$34&lt;E27)*($E$5:$E$34&gt;D27))+SUMPRODUCT((Assignments!$E$5:$E$24="Oven")*(Assignments!$F$5:$F$24&lt;E27)*(Assignments!$G$5:$G$24&gt;D27))&gt;1,"Shares the oven: same temperature, and room for both?",""),"")</f>
        <v/>
      </c>
    </row>
    <row r="28">
      <c r="A28" s="3" t="n"/>
      <c r="B28" s="3" t="n"/>
      <c r="C28" s="3" t="n"/>
      <c r="D28" s="5" t="n"/>
      <c r="E28" s="5" t="n"/>
      <c r="F28" s="19">
        <f>IF(AND(B28="Oven",D28&lt;&gt;"",E28&lt;&gt;""),IF(SUMPRODUCT(($B$5:$B$34="Oven")*($D$5:$D$34&lt;E28)*($E$5:$E$34&gt;D28))+SUMPRODUCT((Assignments!$E$5:$E$24="Oven")*(Assignments!$F$5:$F$24&lt;E28)*(Assignments!$G$5:$G$24&gt;D28))&gt;1,"Shares the oven: same temperature, and room for both?",""),"")</f>
        <v/>
      </c>
    </row>
    <row r="29">
      <c r="A29" s="3" t="n"/>
      <c r="B29" s="3" t="n"/>
      <c r="C29" s="3" t="n"/>
      <c r="D29" s="5" t="n"/>
      <c r="E29" s="5" t="n"/>
      <c r="F29" s="19">
        <f>IF(AND(B29="Oven",D29&lt;&gt;"",E29&lt;&gt;""),IF(SUMPRODUCT(($B$5:$B$34="Oven")*($D$5:$D$34&lt;E29)*($E$5:$E$34&gt;D29))+SUMPRODUCT((Assignments!$E$5:$E$24="Oven")*(Assignments!$F$5:$F$24&lt;E29)*(Assignments!$G$5:$G$24&gt;D29))&gt;1,"Shares the oven: same temperature, and room for both?",""),"")</f>
        <v/>
      </c>
    </row>
    <row r="30">
      <c r="A30" s="3" t="n"/>
      <c r="B30" s="3" t="n"/>
      <c r="C30" s="3" t="n"/>
      <c r="D30" s="5" t="n"/>
      <c r="E30" s="5" t="n"/>
      <c r="F30" s="19">
        <f>IF(AND(B30="Oven",D30&lt;&gt;"",E30&lt;&gt;""),IF(SUMPRODUCT(($B$5:$B$34="Oven")*($D$5:$D$34&lt;E30)*($E$5:$E$34&gt;D30))+SUMPRODUCT((Assignments!$E$5:$E$24="Oven")*(Assignments!$F$5:$F$24&lt;E30)*(Assignments!$G$5:$G$24&gt;D30))&gt;1,"Shares the oven: same temperature, and room for both?",""),"")</f>
        <v/>
      </c>
    </row>
    <row r="31">
      <c r="A31" s="3" t="n"/>
      <c r="B31" s="3" t="n"/>
      <c r="C31" s="3" t="n"/>
      <c r="D31" s="5" t="n"/>
      <c r="E31" s="5" t="n"/>
      <c r="F31" s="19">
        <f>IF(AND(B31="Oven",D31&lt;&gt;"",E31&lt;&gt;""),IF(SUMPRODUCT(($B$5:$B$34="Oven")*($D$5:$D$34&lt;E31)*($E$5:$E$34&gt;D31))+SUMPRODUCT((Assignments!$E$5:$E$24="Oven")*(Assignments!$F$5:$F$24&lt;E31)*(Assignments!$G$5:$G$24&gt;D31))&gt;1,"Shares the oven: same temperature, and room for both?",""),"")</f>
        <v/>
      </c>
    </row>
    <row r="32">
      <c r="A32" s="3" t="n"/>
      <c r="B32" s="3" t="n"/>
      <c r="C32" s="3" t="n"/>
      <c r="D32" s="5" t="n"/>
      <c r="E32" s="5" t="n"/>
      <c r="F32" s="19">
        <f>IF(AND(B32="Oven",D32&lt;&gt;"",E32&lt;&gt;""),IF(SUMPRODUCT(($B$5:$B$34="Oven")*($D$5:$D$34&lt;E32)*($E$5:$E$34&gt;D32))+SUMPRODUCT((Assignments!$E$5:$E$24="Oven")*(Assignments!$F$5:$F$24&lt;E32)*(Assignments!$G$5:$G$24&gt;D32))&gt;1,"Shares the oven: same temperature, and room for both?",""),"")</f>
        <v/>
      </c>
    </row>
    <row r="33">
      <c r="A33" s="3" t="n"/>
      <c r="B33" s="3" t="n"/>
      <c r="C33" s="3" t="n"/>
      <c r="D33" s="5" t="n"/>
      <c r="E33" s="5" t="n"/>
      <c r="F33" s="19">
        <f>IF(AND(B33="Oven",D33&lt;&gt;"",E33&lt;&gt;""),IF(SUMPRODUCT(($B$5:$B$34="Oven")*($D$5:$D$34&lt;E33)*($E$5:$E$34&gt;D33))+SUMPRODUCT((Assignments!$E$5:$E$24="Oven")*(Assignments!$F$5:$F$24&lt;E33)*(Assignments!$G$5:$G$24&gt;D33))&gt;1,"Shares the oven: same temperature, and room for both?",""),"")</f>
        <v/>
      </c>
    </row>
    <row r="34">
      <c r="A34" s="3" t="n"/>
      <c r="B34" s="3" t="n"/>
      <c r="C34" s="3" t="n"/>
      <c r="D34" s="5" t="n"/>
      <c r="E34" s="5" t="n"/>
      <c r="F34" s="19">
        <f>IF(AND(B34="Oven",D34&lt;&gt;"",E34&lt;&gt;""),IF(SUMPRODUCT(($B$5:$B$34="Oven")*($D$5:$D$34&lt;E34)*($E$5:$E$34&gt;D34))+SUMPRODUCT((Assignments!$E$5:$E$24="Oven")*(Assignments!$F$5:$F$24&lt;E34)*(Assignments!$G$5:$G$24&gt;D34))&gt;1,"Shares the oven: same temperature, and room for both?",""),"")</f>
        <v/>
      </c>
    </row>
  </sheetData>
  <conditionalFormatting sqref="F5:F34">
    <cfRule type="expression" priority="1" dxfId="0">
      <formula>$F5&lt;&gt;""</formula>
    </cfRule>
  </conditionalFormatting>
  <dataValidations count="1">
    <dataValidation sqref="B5:B34" showDropDown="0" showInputMessage="0" showErrorMessage="0" allowBlank="1" type="list">
      <formula1>"Oven,Hob (stovetop),Microwave,Slow cooker,Cold / room temp"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0" customWidth="1" min="4" max="4"/>
    <col width="14" customWidth="1" min="5" max="5"/>
    <col width="8" customWidth="1" min="6" max="6"/>
  </cols>
  <sheetData>
    <row r="1">
      <c r="A1" s="1" t="inlineStr">
        <is>
          <t>Thank-You by the Second</t>
        </is>
      </c>
    </row>
    <row r="2">
      <c r="A2" s="2" t="inlineStr">
        <is>
          <t>Four lines: the thing, one specific detail, the person, the sign-off. Templates 1–6 are on page 37.</t>
        </is>
      </c>
    </row>
    <row r="3">
      <c r="A3" t="inlineStr">
        <is>
          <t>Deadline</t>
        </is>
      </c>
      <c r="B3" s="11">
        <f>IF('At a Glance'!B13="","",IF(MONTH('At a Glance'!B13)=12,DATE(YEAR('At a Glance'!B13)+1,1,2),'At a Glance'!B13+2))</f>
        <v/>
      </c>
      <c r="C3" t="inlineStr">
        <is>
          <t>Days left</t>
        </is>
      </c>
      <c r="D3">
        <f>IF(B3="","",MAX(0,B3-TODAY()))</f>
        <v/>
      </c>
      <c r="E3" t="inlineStr">
        <is>
          <t>Outstanding</t>
        </is>
      </c>
      <c r="F3">
        <f>COUNTA(A6:A45)-COUNTIF(E6:E45,"✓")</f>
        <v/>
      </c>
    </row>
    <row r="5">
      <c r="A5" s="13" t="inlineStr">
        <is>
          <t>Name</t>
        </is>
      </c>
      <c r="B5" s="13" t="inlineStr">
        <is>
          <t>For</t>
        </is>
      </c>
      <c r="C5" s="13" t="inlineStr">
        <is>
          <t>Template (1–6)</t>
        </is>
      </c>
      <c r="D5" s="13" t="inlineStr">
        <is>
          <t>Written</t>
        </is>
      </c>
      <c r="E5" s="13" t="inlineStr">
        <is>
          <t>Posted / given</t>
        </is>
      </c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  <row r="40">
      <c r="A40" s="3" t="n"/>
      <c r="B40" s="3" t="n"/>
      <c r="C40" s="3" t="n"/>
      <c r="D40" s="3" t="n"/>
      <c r="E40" s="3" t="n"/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</sheetData>
  <dataValidations count="2">
    <dataValidation sqref="C6:C45" showDropDown="0" showInputMessage="0" showErrorMessage="0" allowBlank="1" type="list">
      <formula1>"1,2,3,4,5,6"</formula1>
    </dataValidation>
    <dataValidation sqref="D6:E45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The Reckoning (T+7)</t>
        </is>
      </c>
    </row>
    <row r="2">
      <c r="A2" s="2" t="inlineStr">
        <is>
          <t>Planned against actual. Then type next year's T-0 date (B27): the Clock rewrites itself from it.</t>
        </is>
      </c>
    </row>
    <row r="4">
      <c r="A4" s="13" t="inlineStr">
        <is>
          <t>Measure</t>
        </is>
      </c>
      <c r="B4" s="13" t="inlineStr">
        <is>
          <t>Planned</t>
        </is>
      </c>
      <c r="C4" s="13" t="inlineStr">
        <is>
          <t>Actual</t>
        </is>
      </c>
      <c r="D4" s="13" t="inlineStr">
        <is>
          <t>Difference</t>
        </is>
      </c>
    </row>
    <row r="5">
      <c r="A5" s="14" t="inlineStr">
        <is>
          <t>Guests</t>
        </is>
      </c>
      <c r="B5" s="22">
        <f>'At a Glance'!B9</f>
        <v/>
      </c>
      <c r="C5" s="6" t="n"/>
      <c r="D5" s="22">
        <f>IF(OR(B5="",C5=""),"",C5-B5)</f>
        <v/>
      </c>
    </row>
    <row r="6">
      <c r="A6" s="14" t="inlineStr">
        <is>
          <t>Total spend: food, drink, table</t>
        </is>
      </c>
      <c r="B6" s="17">
        <f>'At a Glance'!B10</f>
        <v/>
      </c>
      <c r="C6" s="17">
        <f>'Spend Log'!J12</f>
        <v/>
      </c>
      <c r="D6" s="17">
        <f>IF(OR(B6="",C6=""),"",C6-B6)</f>
        <v/>
      </c>
    </row>
    <row r="7">
      <c r="A7" s="14" t="inlineStr">
        <is>
          <t>Per plate</t>
        </is>
      </c>
      <c r="B7" s="17">
        <f>'At a Glance'!B11</f>
        <v/>
      </c>
      <c r="C7" s="17">
        <f>IFERROR(C6/C5,"")</f>
        <v/>
      </c>
      <c r="D7" s="17">
        <f>IF(OR(B7="",C7=""),"",C7-B7)</f>
        <v/>
      </c>
    </row>
    <row r="8">
      <c r="A8" s="14" t="inlineStr">
        <is>
          <t>Gift season total (incl. Staff &amp; Service)</t>
        </is>
      </c>
      <c r="B8" s="17">
        <f>'Gift Ledger'!B4</f>
        <v/>
      </c>
      <c r="C8" s="17">
        <f>'Gift Ledger'!B9</f>
        <v/>
      </c>
      <c r="D8" s="17">
        <f>IF(OR(B8="",C8=""),"",C8-B8)</f>
        <v/>
      </c>
    </row>
    <row r="9">
      <c r="A9" s="14" t="inlineStr">
        <is>
          <t>Clock ticks (out of 25)</t>
        </is>
      </c>
      <c r="B9" s="22" t="n">
        <v>25</v>
      </c>
      <c r="C9" s="22">
        <f>COUNTIF(Clock!G6:G30,"✓")</f>
        <v/>
      </c>
      <c r="D9" s="22">
        <f>IF(OR(B9="",C9=""),"",C9-B9)</f>
        <v/>
      </c>
    </row>
    <row r="10">
      <c r="A10" s="14" t="inlineStr">
        <is>
          <t>Minutes on the clock (ticks × 15)</t>
        </is>
      </c>
      <c r="B10" s="22" t="n">
        <v>375</v>
      </c>
      <c r="C10" s="22">
        <f>C9*15</f>
        <v/>
      </c>
      <c r="D10" s="22">
        <f>IF(OR(B10="",C10=""),"",C10-B10)</f>
        <v/>
      </c>
    </row>
    <row r="11">
      <c r="A11" s="14" t="inlineStr">
        <is>
          <t>Tasks done on their own day</t>
        </is>
      </c>
      <c r="B11" s="6" t="n"/>
      <c r="C11" s="6" t="n"/>
      <c r="D11" s="22">
        <f>IF(OR(B11="",C11=""),"",C11-B11)</f>
        <v/>
      </c>
    </row>
    <row r="12">
      <c r="A12" s="14" t="inlineStr">
        <is>
          <t>Borrowed items returned within two days</t>
        </is>
      </c>
      <c r="B12" s="6" t="n"/>
      <c r="C12" s="6" t="n"/>
      <c r="D12" s="22">
        <f>IF(OR(B12="",C12=""),"",C12-B12)</f>
        <v/>
      </c>
    </row>
    <row r="13">
      <c r="A13" s="14" t="inlineStr">
        <is>
          <t>Thank-yous sent by the deadline</t>
        </is>
      </c>
      <c r="B13" s="6" t="n"/>
      <c r="C13" s="6" t="n"/>
      <c r="D13" s="22">
        <f>IF(OR(B13="",C13=""),"",C13-B13)</f>
        <v/>
      </c>
    </row>
    <row r="15">
      <c r="A15" s="24" t="inlineStr">
        <is>
          <t>The calm line (1 = dread, 5 = composed)</t>
        </is>
      </c>
    </row>
    <row r="16">
      <c r="A16" s="13" t="inlineStr">
        <is>
          <t>When</t>
        </is>
      </c>
      <c r="B16" s="13" t="inlineStr">
        <is>
          <t>Calm score</t>
        </is>
      </c>
    </row>
    <row r="17">
      <c r="A17" s="14" t="inlineStr">
        <is>
          <t>T-21</t>
        </is>
      </c>
      <c r="B17" s="3" t="n"/>
    </row>
    <row r="18">
      <c r="A18" s="14" t="inlineStr">
        <is>
          <t>T-15</t>
        </is>
      </c>
      <c r="B18" s="3" t="n"/>
    </row>
    <row r="19">
      <c r="A19" s="14" t="inlineStr">
        <is>
          <t>T-8</t>
        </is>
      </c>
      <c r="B19" s="3" t="n"/>
    </row>
    <row r="20">
      <c r="A20" s="14" t="inlineStr">
        <is>
          <t>T-1</t>
        </is>
      </c>
      <c r="B20" s="3" t="n"/>
    </row>
    <row r="21">
      <c r="A21" s="14" t="inlineStr">
        <is>
          <t>At the door</t>
        </is>
      </c>
      <c r="B21" s="3" t="n"/>
    </row>
    <row r="22">
      <c r="A22" s="14" t="inlineStr">
        <is>
          <t>T+1</t>
        </is>
      </c>
      <c r="B22" s="3" t="n"/>
    </row>
    <row r="25">
      <c r="A25" s="24" t="inlineStr">
        <is>
          <t>Next year</t>
        </is>
      </c>
    </row>
    <row r="26">
      <c r="A26" t="inlineStr">
        <is>
          <t>Next year's starting Per-Plate Number</t>
        </is>
      </c>
      <c r="B26" s="7" t="n"/>
    </row>
    <row r="27">
      <c r="A27" t="inlineStr">
        <is>
          <t>Next year's T-0 date (the Clock switches to it)</t>
        </is>
      </c>
      <c r="B27" s="4" t="n"/>
    </row>
    <row r="28">
      <c r="A28" s="2" t="inlineStr">
        <is>
          <t>Thanksgiving 2027: Thu 25 Nov 2027 · Christmas 2027: Sat 25 Dec 2027</t>
        </is>
      </c>
    </row>
    <row r="30">
      <c r="A30" t="inlineStr">
        <is>
          <t>Three to keep</t>
        </is>
      </c>
      <c r="B30" s="3" t="n"/>
      <c r="C30" s="27" t="n"/>
      <c r="D30" s="28" t="n"/>
    </row>
    <row r="31">
      <c r="A31" t="inlineStr">
        <is>
          <t>Three to change</t>
        </is>
      </c>
      <c r="B31" s="3" t="n"/>
      <c r="C31" s="27" t="n"/>
      <c r="D31" s="28" t="n"/>
    </row>
    <row r="32">
      <c r="A32" t="inlineStr">
        <is>
          <t>One to drop entirely</t>
        </is>
      </c>
      <c r="B32" s="3" t="n"/>
      <c r="C32" s="27" t="n"/>
      <c r="D32" s="28" t="n"/>
    </row>
  </sheetData>
  <mergeCells count="3">
    <mergeCell ref="B31:D31"/>
    <mergeCell ref="B32:D32"/>
    <mergeCell ref="B30:D30"/>
  </mergeCells>
  <dataValidations count="1">
    <dataValidation sqref="B17:B22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2026-10-15T23:23:36Z</dcterms:created>
  <dcterms:modified xmlns:dcterms="http://purl.org/dc/terms/" xmlns:xsi="http://www.w3.org/2001/XMLSchema-instance" xsi:type="dcterms:W3CDTF">2026-10-15T23:23:36Z</dcterms:modified>
</cp:coreProperties>
</file>